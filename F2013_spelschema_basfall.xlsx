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" sheetId="1" state="visible" r:id="rId3"/>
    <sheet name="Per match" sheetId="2" state="visible" r:id="rId4"/>
    <sheet name="Uppdrag" sheetId="3" state="visible" r:id="rId5"/>
    <sheet name="Per spelare" sheetId="4" state="visible" r:id="rId6"/>
    <sheet name="Varningar" sheetId="5" state="visible" r:id="rId7"/>
  </sheets>
  <definedNames>
    <definedName function="false" hidden="true" localSheetId="1" name="_xlnm._FilterDatabase" vbProcedure="false">'Per match'!$A$3:$T$42</definedName>
    <definedName function="false" hidden="true" localSheetId="3" name="_xlnm._FilterDatabase" vbProcedure="false">'Per spelare'!$A$3:$L$27</definedName>
    <definedName function="false" hidden="true" localSheetId="2" name="_xlnm._FilterDatabase" vbProcedure="false">Uppdrag!$A$4:$I$34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<sst xmlns="http://schemas.openxmlformats.org/spreadsheetml/2006/main" count="1714" uniqueCount="304">
  <si>
    <t xml:space="preserve">Spelschema F2013</t>
  </si>
  <si>
    <t xml:space="preserve">MV = målvakt · X = i truppen · grå = otillgänglig · tom = ledig. Genererat 2026-09-09 08:12</t>
  </si>
  <si>
    <t xml:space="preserve">MV</t>
  </si>
  <si>
    <t xml:space="preserve">9M</t>
  </si>
  <si>
    <t xml:space="preserve">M6</t>
  </si>
  <si>
    <t xml:space="preserve">H6</t>
  </si>
  <si>
    <t xml:space="preserve">V6</t>
  </si>
  <si>
    <t xml:space="preserve">Datum</t>
  </si>
  <si>
    <t xml:space="preserve">Dag</t>
  </si>
  <si>
    <t xml:space="preserve">Tid</t>
  </si>
  <si>
    <t xml:space="preserve">Nivå</t>
  </si>
  <si>
    <t xml:space="preserve">Match</t>
  </si>
  <si>
    <t xml:space="preserve">Spelplats</t>
  </si>
  <si>
    <t xml:space="preserve">Antal</t>
  </si>
  <si>
    <t xml:space="preserve">Freya Henley Hellström</t>
  </si>
  <si>
    <t xml:space="preserve">Irma Stål</t>
  </si>
  <si>
    <t xml:space="preserve">Irma Segerberg</t>
  </si>
  <si>
    <t xml:space="preserve">Nilla Davidsson</t>
  </si>
  <si>
    <t xml:space="preserve">Ella Fridberg</t>
  </si>
  <si>
    <t xml:space="preserve">Alicia Enström</t>
  </si>
  <si>
    <t xml:space="preserve">Gloria Klintefelt</t>
  </si>
  <si>
    <t xml:space="preserve">Sara Salkic</t>
  </si>
  <si>
    <t xml:space="preserve">Tyra Benjaminsson</t>
  </si>
  <si>
    <t xml:space="preserve">Tyra Carlsson</t>
  </si>
  <si>
    <t xml:space="preserve">Felicia Sjöberg</t>
  </si>
  <si>
    <t xml:space="preserve">Lovisa Laggren</t>
  </si>
  <si>
    <t xml:space="preserve">Thilda Kangas</t>
  </si>
  <si>
    <t xml:space="preserve">Tilde Knoop</t>
  </si>
  <si>
    <t xml:space="preserve">Anna-Lisa Styrud</t>
  </si>
  <si>
    <t xml:space="preserve">Chloé Flodén</t>
  </si>
  <si>
    <t xml:space="preserve">Klara Bjurhede</t>
  </si>
  <si>
    <t xml:space="preserve">Lova Wängvik</t>
  </si>
  <si>
    <t xml:space="preserve">Ester Eliasson</t>
  </si>
  <si>
    <t xml:space="preserve">Rihanna Jan Ali</t>
  </si>
  <si>
    <t xml:space="preserve">Iza Aydin</t>
  </si>
  <si>
    <t xml:space="preserve">Lykke Van Eijsden</t>
  </si>
  <si>
    <t xml:space="preserve">Maja Jiveland</t>
  </si>
  <si>
    <t xml:space="preserve">Sigrid Alströmer</t>
  </si>
  <si>
    <t xml:space="preserve">2026-10-04</t>
  </si>
  <si>
    <t xml:space="preserve">Söndag</t>
  </si>
  <si>
    <t xml:space="preserve">13:15</t>
  </si>
  <si>
    <t xml:space="preserve">Svår</t>
  </si>
  <si>
    <t xml:space="preserve">Alingsås HK 1 – IK Sävehof 1</t>
  </si>
  <si>
    <t xml:space="preserve">Östlyckehallen Alingsås</t>
  </si>
  <si>
    <t xml:space="preserve">X</t>
  </si>
  <si>
    <t xml:space="preserve">2026-10-10</t>
  </si>
  <si>
    <t xml:space="preserve">Lördag</t>
  </si>
  <si>
    <t xml:space="preserve">14:05</t>
  </si>
  <si>
    <t xml:space="preserve">Lätt</t>
  </si>
  <si>
    <t xml:space="preserve">HK Lidköping 2 – Alingsås HK 2</t>
  </si>
  <si>
    <t xml:space="preserve">Öjersjöhallen, Partille</t>
  </si>
  <si>
    <t xml:space="preserve">15:35</t>
  </si>
  <si>
    <t xml:space="preserve">IK Sävehof 2 – Alingsås HK 2</t>
  </si>
  <si>
    <t xml:space="preserve">2026-10-11</t>
  </si>
  <si>
    <t xml:space="preserve">13:25</t>
  </si>
  <si>
    <t xml:space="preserve">IK Baltichov blå – Alingsås HK 1</t>
  </si>
  <si>
    <t xml:space="preserve">Hjällsnäshallen B, Gråbo</t>
  </si>
  <si>
    <t xml:space="preserve">2026-10-24</t>
  </si>
  <si>
    <t xml:space="preserve">13:00</t>
  </si>
  <si>
    <t xml:space="preserve">Alingsås HK 1 – HK Aranäs Vit</t>
  </si>
  <si>
    <t xml:space="preserve">Alströmerhallen, Alingsås</t>
  </si>
  <si>
    <t xml:space="preserve">2026-10-25</t>
  </si>
  <si>
    <t xml:space="preserve">10:00</t>
  </si>
  <si>
    <t xml:space="preserve">KFUM Trollhättan Nord – Alingsås HK 2</t>
  </si>
  <si>
    <t xml:space="preserve">Torsbohallen, Trollhättan</t>
  </si>
  <si>
    <t xml:space="preserve">11:20</t>
  </si>
  <si>
    <t xml:space="preserve">Alingsås HK 2 – GF Kroppskultur 2</t>
  </si>
  <si>
    <t xml:space="preserve">2026-11-07</t>
  </si>
  <si>
    <t xml:space="preserve">12:45</t>
  </si>
  <si>
    <t xml:space="preserve">Habo HK Vit – Alingsås HK 1</t>
  </si>
  <si>
    <t xml:space="preserve">Habo Sporthall C</t>
  </si>
  <si>
    <t xml:space="preserve">2026-11-08</t>
  </si>
  <si>
    <t xml:space="preserve">12:00</t>
  </si>
  <si>
    <t xml:space="preserve">Alingsås HK 2 – Stenungsunds HK Svart</t>
  </si>
  <si>
    <t xml:space="preserve">2026-11-15</t>
  </si>
  <si>
    <t xml:space="preserve">Skara HF Vit – Alingsås HK 1</t>
  </si>
  <si>
    <t xml:space="preserve">Skara Idrottshall</t>
  </si>
  <si>
    <t xml:space="preserve">2026-11-22</t>
  </si>
  <si>
    <t xml:space="preserve">11:15</t>
  </si>
  <si>
    <t xml:space="preserve">Alingsås HK 1 – HK Country Röd</t>
  </si>
  <si>
    <t xml:space="preserve">Nolhagahallen</t>
  </si>
  <si>
    <t xml:space="preserve">15:45</t>
  </si>
  <si>
    <t xml:space="preserve">Idrottens Hus TH 1, Lidköping</t>
  </si>
  <si>
    <t xml:space="preserve">17:00</t>
  </si>
  <si>
    <t xml:space="preserve">2026-11-28</t>
  </si>
  <si>
    <t xml:space="preserve">16:45</t>
  </si>
  <si>
    <t xml:space="preserve">Skövde HF – Alingsås HK 1</t>
  </si>
  <si>
    <t xml:space="preserve">Skövde Idrottshall</t>
  </si>
  <si>
    <t xml:space="preserve">2026-12-05</t>
  </si>
  <si>
    <t xml:space="preserve">Alingsås HK 2 – Kärra HF 2</t>
  </si>
  <si>
    <t xml:space="preserve">14:15</t>
  </si>
  <si>
    <t xml:space="preserve">Alingsås HK 2 – Kungälvs HK Grön</t>
  </si>
  <si>
    <t xml:space="preserve">15:15</t>
  </si>
  <si>
    <t xml:space="preserve">Alingsås HK 1 – Önnereds HK Grön</t>
  </si>
  <si>
    <t xml:space="preserve">2026-12-20</t>
  </si>
  <si>
    <t xml:space="preserve">09:30</t>
  </si>
  <si>
    <t xml:space="preserve">Kärra HF 2 – Alingsås HK 2</t>
  </si>
  <si>
    <t xml:space="preserve">Angered Arena</t>
  </si>
  <si>
    <t xml:space="preserve">11:40</t>
  </si>
  <si>
    <t xml:space="preserve">Redbergslids IK Vit – Alingsås HK 1</t>
  </si>
  <si>
    <t xml:space="preserve">Rosendalshallen A Göteborg</t>
  </si>
  <si>
    <t xml:space="preserve">2027-01-09</t>
  </si>
  <si>
    <t xml:space="preserve">11:00</t>
  </si>
  <si>
    <t xml:space="preserve">Alingsås HK 1 – Redbergslids IK Vit</t>
  </si>
  <si>
    <t xml:space="preserve">18:00</t>
  </si>
  <si>
    <t xml:space="preserve">Stenungsunds HK Svart – Alingsås HK 2</t>
  </si>
  <si>
    <t xml:space="preserve">Hallerna Idrottshall</t>
  </si>
  <si>
    <t xml:space="preserve">2027-01-17</t>
  </si>
  <si>
    <t xml:space="preserve">12:15</t>
  </si>
  <si>
    <t xml:space="preserve">Önnereds HK Grön – Alingsås HK 1</t>
  </si>
  <si>
    <t xml:space="preserve">ÖHK Gbg Brandservichallen</t>
  </si>
  <si>
    <t xml:space="preserve">2027-01-23</t>
  </si>
  <si>
    <t xml:space="preserve">Alingsås HK 1 – Skövde HF</t>
  </si>
  <si>
    <t xml:space="preserve">2027-01-24</t>
  </si>
  <si>
    <t xml:space="preserve">Alingsås HK 2 – KFUM Trollhättan Nord</t>
  </si>
  <si>
    <t xml:space="preserve">14:00</t>
  </si>
  <si>
    <t xml:space="preserve">2027-01-31</t>
  </si>
  <si>
    <t xml:space="preserve">HK Country Röd – Alingsås HK 1</t>
  </si>
  <si>
    <t xml:space="preserve">Frösvehallen Stöpen</t>
  </si>
  <si>
    <t xml:space="preserve">2027-02-06</t>
  </si>
  <si>
    <t xml:space="preserve">Alingsås HK 1 – Skara HF Vit</t>
  </si>
  <si>
    <t xml:space="preserve">2027-02-07</t>
  </si>
  <si>
    <t xml:space="preserve">13:40</t>
  </si>
  <si>
    <t xml:space="preserve">Kungälvs HK Grön – Alingsås HK 2</t>
  </si>
  <si>
    <t xml:space="preserve">Kungälvs Idrottshall</t>
  </si>
  <si>
    <t xml:space="preserve">15:30</t>
  </si>
  <si>
    <t xml:space="preserve">2027-02-28</t>
  </si>
  <si>
    <t xml:space="preserve">Alingsås HK 1 – Habo HK Vit</t>
  </si>
  <si>
    <t xml:space="preserve">2027-03-06</t>
  </si>
  <si>
    <t xml:space="preserve">2027-03-07</t>
  </si>
  <si>
    <t xml:space="preserve">HK Aranäs Vit – Alingsås HK 1</t>
  </si>
  <si>
    <t xml:space="preserve">Forsgläntans IH</t>
  </si>
  <si>
    <t xml:space="preserve">2027-03-14</t>
  </si>
  <si>
    <t xml:space="preserve">Alingsås HK 1 – IK Baltichov blå</t>
  </si>
  <si>
    <t xml:space="preserve">2027-03-21</t>
  </si>
  <si>
    <t xml:space="preserve">15:50</t>
  </si>
  <si>
    <t xml:space="preserve">16:55</t>
  </si>
  <si>
    <t xml:space="preserve">18:25</t>
  </si>
  <si>
    <t xml:space="preserve">IK Sävehof 1 – Alingsås HK 1</t>
  </si>
  <si>
    <t xml:space="preserve">Partille Arena B</t>
  </si>
  <si>
    <t xml:space="preserve">Svåra</t>
  </si>
  <si>
    <t xml:space="preserve">Lätta</t>
  </si>
  <si>
    <t xml:space="preserve">Totalt</t>
  </si>
  <si>
    <t xml:space="preserve">Trupp per match</t>
  </si>
  <si>
    <t xml:space="preserve">Matchnr</t>
  </si>
  <si>
    <t xml:space="preserve">Målvakt</t>
  </si>
  <si>
    <t xml:space="preserve">Spelare 1</t>
  </si>
  <si>
    <t xml:space="preserve">Spelare 2</t>
  </si>
  <si>
    <t xml:space="preserve">Spelare 3</t>
  </si>
  <si>
    <t xml:space="preserve">Spelare 4</t>
  </si>
  <si>
    <t xml:space="preserve">Spelare 5</t>
  </si>
  <si>
    <t xml:space="preserve">Spelare 6</t>
  </si>
  <si>
    <t xml:space="preserve">Spelare 7</t>
  </si>
  <si>
    <t xml:space="preserve">Spelare 8</t>
  </si>
  <si>
    <t xml:space="preserve">Spelare 9</t>
  </si>
  <si>
    <t xml:space="preserve">Spelare 10</t>
  </si>
  <si>
    <t xml:space="preserve">Spelare 11</t>
  </si>
  <si>
    <t xml:space="preserve">26 5 1341 004</t>
  </si>
  <si>
    <t xml:space="preserve">26 5 1343 002</t>
  </si>
  <si>
    <t xml:space="preserve">26 5 1343 003</t>
  </si>
  <si>
    <t xml:space="preserve">26 5 1341 006</t>
  </si>
  <si>
    <t xml:space="preserve">26 5 1341 014</t>
  </si>
  <si>
    <t xml:space="preserve">26 5 1343 011</t>
  </si>
  <si>
    <t xml:space="preserve">26 5 1343 012</t>
  </si>
  <si>
    <t xml:space="preserve">26 5 1341 020</t>
  </si>
  <si>
    <t xml:space="preserve">26 5 1343 021</t>
  </si>
  <si>
    <t xml:space="preserve">26 5 1341 023</t>
  </si>
  <si>
    <t xml:space="preserve">26 5 1341 026</t>
  </si>
  <si>
    <t xml:space="preserve">26 5 1343 023</t>
  </si>
  <si>
    <t xml:space="preserve">26 5 1343 024</t>
  </si>
  <si>
    <t xml:space="preserve">26 5 1341 031</t>
  </si>
  <si>
    <t xml:space="preserve">26 5 1343 032</t>
  </si>
  <si>
    <t xml:space="preserve">26 5 1343 034</t>
  </si>
  <si>
    <t xml:space="preserve">26 5 1341 037</t>
  </si>
  <si>
    <t xml:space="preserve">26 5 1343 036</t>
  </si>
  <si>
    <t xml:space="preserve">26 5 1343 037</t>
  </si>
  <si>
    <t xml:space="preserve">26 5 1341 044</t>
  </si>
  <si>
    <t xml:space="preserve">26 5 1341 048</t>
  </si>
  <si>
    <t xml:space="preserve">26 5 1343 049</t>
  </si>
  <si>
    <t xml:space="preserve">26 5 1341 055</t>
  </si>
  <si>
    <t xml:space="preserve">26 5 1341 057</t>
  </si>
  <si>
    <t xml:space="preserve">26 5 1343 050</t>
  </si>
  <si>
    <t xml:space="preserve">26 5 1343 052</t>
  </si>
  <si>
    <t xml:space="preserve">26 5 1341 062</t>
  </si>
  <si>
    <t xml:space="preserve">26 5 1341 066</t>
  </si>
  <si>
    <t xml:space="preserve">26 5 1343 060</t>
  </si>
  <si>
    <t xml:space="preserve">26 5 1343 061</t>
  </si>
  <si>
    <t xml:space="preserve">26 5 1341 074</t>
  </si>
  <si>
    <t xml:space="preserve">26 5 1343 067</t>
  </si>
  <si>
    <t xml:space="preserve">26 5 1343 068</t>
  </si>
  <si>
    <t xml:space="preserve">26 5 1341 076</t>
  </si>
  <si>
    <t xml:space="preserve">26 5 1341 084</t>
  </si>
  <si>
    <t xml:space="preserve">26 5 1343 077</t>
  </si>
  <si>
    <t xml:space="preserve">26 5 1343 079</t>
  </si>
  <si>
    <t xml:space="preserve">26 5 1343 080</t>
  </si>
  <si>
    <t xml:space="preserve">26 5 1341 087</t>
  </si>
  <si>
    <t xml:space="preserve">Föräldrauppdrag</t>
  </si>
  <si>
    <t xml:space="preserve">Namnet är barnets. Bara föräldrar vars barn spelar, ledarnas familjer undantagna.</t>
  </si>
  <si>
    <t xml:space="preserve">Truppenhet</t>
  </si>
  <si>
    <t xml:space="preserve">Hemma/borta</t>
  </si>
  <si>
    <t xml:space="preserve">Kiosk</t>
  </si>
  <si>
    <t xml:space="preserve">Matchvärd</t>
  </si>
  <si>
    <t xml:space="preserve">Sekretariat</t>
  </si>
  <si>
    <t xml:space="preserve">Körning</t>
  </si>
  <si>
    <t xml:space="preserve">S01</t>
  </si>
  <si>
    <t xml:space="preserve">Hemma</t>
  </si>
  <si>
    <t xml:space="preserve">Chloé Flodén, Irma Stål</t>
  </si>
  <si>
    <t xml:space="preserve">Anna-Lisa Styrud, Tyra Benjaminsson</t>
  </si>
  <si>
    <t xml:space="preserve">L01</t>
  </si>
  <si>
    <t xml:space="preserve">Borta</t>
  </si>
  <si>
    <t xml:space="preserve">HK Lidköping 2 – Alingsås HK 2 / IK Sävehof 2 – Alingsås HK 2</t>
  </si>
  <si>
    <t xml:space="preserve">Anna-Lisa Styrud, Lykke Van Eijsden, Rihanna Jan Ali</t>
  </si>
  <si>
    <t xml:space="preserve">S02</t>
  </si>
  <si>
    <t xml:space="preserve">Anna-Lisa Styrud, Chloé Flodén, Irma Stål</t>
  </si>
  <si>
    <t xml:space="preserve">S03</t>
  </si>
  <si>
    <t xml:space="preserve">Gloria Klintefelt, Lovisa Laggren</t>
  </si>
  <si>
    <t xml:space="preserve">Klara Bjurhede, Tyra Carlsson</t>
  </si>
  <si>
    <t xml:space="preserve">L02</t>
  </si>
  <si>
    <t xml:space="preserve">KFUM Trollhättan Nord – Alingsås HK 2 / Alingsås HK 2 – GF Kroppskultur 2</t>
  </si>
  <si>
    <t xml:space="preserve">Klara Bjurhede, Maja Jiveland, Nilla Davidsson</t>
  </si>
  <si>
    <t xml:space="preserve">S04</t>
  </si>
  <si>
    <t xml:space="preserve">Chloé Flodén, Lova Wängvik, Tyra Benjaminsson</t>
  </si>
  <si>
    <t xml:space="preserve">L03</t>
  </si>
  <si>
    <t xml:space="preserve">Maja Jiveland, Sigrid Alströmer</t>
  </si>
  <si>
    <t xml:space="preserve">Chloé Flodén, Rihanna Jan Ali</t>
  </si>
  <si>
    <t xml:space="preserve">S05</t>
  </si>
  <si>
    <t xml:space="preserve">Anna-Lisa Styrud, Irma Stål, Lova Wängvik</t>
  </si>
  <si>
    <t xml:space="preserve">S06</t>
  </si>
  <si>
    <t xml:space="preserve">Freya Henley Hellström, Lovisa Laggren</t>
  </si>
  <si>
    <t xml:space="preserve">Ester Eliasson, Sara Salkic</t>
  </si>
  <si>
    <t xml:space="preserve">L04</t>
  </si>
  <si>
    <t xml:space="preserve">IK Sävehof 2 – Alingsås HK 2 / HK Lidköping 2 – Alingsås HK 2</t>
  </si>
  <si>
    <t xml:space="preserve">Irma Segerberg, Lykke Van Eijsden, Sigrid Alströmer</t>
  </si>
  <si>
    <t xml:space="preserve">S07</t>
  </si>
  <si>
    <t xml:space="preserve">Chloé Flodén, Irma Stål, Klara Bjurhede</t>
  </si>
  <si>
    <t xml:space="preserve">L05</t>
  </si>
  <si>
    <t xml:space="preserve">Alingsås HK 2 – Kärra HF 2 / Alingsås HK 2 – Kungälvs HK Grön</t>
  </si>
  <si>
    <t xml:space="preserve">Rihanna Jan Ali, Sigrid Alströmer</t>
  </si>
  <si>
    <t xml:space="preserve">Ester Eliasson, Irma Segerberg</t>
  </si>
  <si>
    <t xml:space="preserve">S08</t>
  </si>
  <si>
    <t xml:space="preserve">Lova Wängvik, Lovisa Laggren</t>
  </si>
  <si>
    <t xml:space="preserve">Tyra Benjaminsson, Tyra Carlsson</t>
  </si>
  <si>
    <t xml:space="preserve">L06</t>
  </si>
  <si>
    <t xml:space="preserve">Kärra HF 2 – Alingsås HK 2 / Alingsås HK 2 – Kungälvs HK Grön</t>
  </si>
  <si>
    <t xml:space="preserve">Lykke Van Eijsden, Maja Jiveland, Nilla Davidsson</t>
  </si>
  <si>
    <t xml:space="preserve">S09</t>
  </si>
  <si>
    <t xml:space="preserve">Chloé Flodén, Irma Stål, Sara Salkic</t>
  </si>
  <si>
    <t xml:space="preserve">S10</t>
  </si>
  <si>
    <t xml:space="preserve">Freya Henley Hellström, Sara Salkic</t>
  </si>
  <si>
    <t xml:space="preserve">Ester Eliasson, Gloria Klintefelt</t>
  </si>
  <si>
    <t xml:space="preserve">L07</t>
  </si>
  <si>
    <t xml:space="preserve">Maja Jiveland, Nilla Davidsson, Sigrid Alströmer</t>
  </si>
  <si>
    <t xml:space="preserve">S11</t>
  </si>
  <si>
    <t xml:space="preserve">Freya Henley Hellström, Lova Wängvik, Tyra Benjaminsson</t>
  </si>
  <si>
    <t xml:space="preserve">S12</t>
  </si>
  <si>
    <t xml:space="preserve">Lovisa Laggren, Tyra Carlsson</t>
  </si>
  <si>
    <t xml:space="preserve">Sara Salkic, Tyra Benjaminsson</t>
  </si>
  <si>
    <t xml:space="preserve">L08</t>
  </si>
  <si>
    <t xml:space="preserve">Alingsås HK 2 – KFUM Trollhättan Nord / Alingsås HK 2 – GF Kroppskultur 2</t>
  </si>
  <si>
    <t xml:space="preserve">Maja Jiveland, Rihanna Jan Ali</t>
  </si>
  <si>
    <t xml:space="preserve">Lykke Van Eijsden, Nilla Davidsson</t>
  </si>
  <si>
    <t xml:space="preserve">S13</t>
  </si>
  <si>
    <t xml:space="preserve">Ester Eliasson, Freya Henley Hellström, Klara Bjurhede</t>
  </si>
  <si>
    <t xml:space="preserve">S14</t>
  </si>
  <si>
    <t xml:space="preserve">Irma Stål, Lovisa Laggren</t>
  </si>
  <si>
    <t xml:space="preserve">L09</t>
  </si>
  <si>
    <t xml:space="preserve">Kungälvs HK Grön – Alingsås HK 2 / Alingsås HK 2 – Kärra HF 2</t>
  </si>
  <si>
    <t xml:space="preserve">Lova Wängvik, Nilla Davidsson, Sigrid Alströmer</t>
  </si>
  <si>
    <t xml:space="preserve">S15</t>
  </si>
  <si>
    <t xml:space="preserve">Gloria Klintefelt, Tyra Carlsson</t>
  </si>
  <si>
    <t xml:space="preserve">L10</t>
  </si>
  <si>
    <t xml:space="preserve">Irma Segerberg, Lykke Van Eijsden, Rihanna Jan Ali</t>
  </si>
  <si>
    <t xml:space="preserve">S16</t>
  </si>
  <si>
    <t xml:space="preserve">Anna-Lisa Styrud, Ester Eliasson, Irma Stål</t>
  </si>
  <si>
    <t xml:space="preserve">S17</t>
  </si>
  <si>
    <t xml:space="preserve">Gloria Klintefelt, Sara Salkic</t>
  </si>
  <si>
    <t xml:space="preserve">Ester Eliasson, Freya Henley Hellström</t>
  </si>
  <si>
    <t xml:space="preserve">L11</t>
  </si>
  <si>
    <t xml:space="preserve">Chloé Flodén, Irma Segerberg</t>
  </si>
  <si>
    <t xml:space="preserve">L12</t>
  </si>
  <si>
    <t xml:space="preserve">S18</t>
  </si>
  <si>
    <t xml:space="preserve">Lova Wängvik, Tyra Benjaminsson, Tyra Carlsson</t>
  </si>
  <si>
    <t xml:space="preserve">Speltid per spelare</t>
  </si>
  <si>
    <t xml:space="preserve">Spelare</t>
  </si>
  <si>
    <t xml:space="preserve">Primär pos</t>
  </si>
  <si>
    <t xml:space="preserve">Nivå medel</t>
  </si>
  <si>
    <t xml:space="preserve">Grupp</t>
  </si>
  <si>
    <t xml:space="preserve">Frånvarande enheter</t>
  </si>
  <si>
    <t xml:space="preserve">Möjliga matcher</t>
  </si>
  <si>
    <t xml:space="preserve">Andel spelade</t>
  </si>
  <si>
    <t xml:space="preserve">Ledare</t>
  </si>
  <si>
    <t xml:space="preserve">Uppdrag</t>
  </si>
  <si>
    <t xml:space="preserve">A</t>
  </si>
  <si>
    <t xml:space="preserve">B</t>
  </si>
  <si>
    <t xml:space="preserve">D</t>
  </si>
  <si>
    <t xml:space="preserve">Andreas</t>
  </si>
  <si>
    <t xml:space="preserve">Marcus</t>
  </si>
  <si>
    <t xml:space="preserve">Jehona</t>
  </si>
  <si>
    <t xml:space="preserve">Ville</t>
  </si>
  <si>
    <t xml:space="preserve">Erik</t>
  </si>
  <si>
    <t xml:space="preserve">C</t>
  </si>
  <si>
    <t xml:space="preserve">Björn</t>
  </si>
  <si>
    <t xml:space="preserve">Varningar</t>
  </si>
  <si>
    <t xml:space="preserve">Inga. Alla trupper kunde fyllas med önskat antal avbytare.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</si>
</sst>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7F7F7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7F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H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34"/>
    <col collapsed="false" customWidth="true" hidden="false" outlineLevel="0" max="6" min="6" style="0" width="27"/>
    <col collapsed="false" customWidth="true" hidden="false" outlineLevel="0" max="7" min="7" style="0" width="7"/>
    <col collapsed="false" customWidth="true" hidden="false" outlineLevel="0" max="31" min="8" style="0" width="4.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H4" s="3" t="s">
        <v>2</v>
      </c>
      <c r="I4" s="3" t="s">
        <v>2</v>
      </c>
      <c r="J4" s="3" t="s">
        <v>2</v>
      </c>
      <c r="K4" s="3" t="s">
        <v>2</v>
      </c>
      <c r="L4" s="3" t="s">
        <v>3</v>
      </c>
      <c r="M4" s="3" t="s">
        <v>3</v>
      </c>
      <c r="N4" s="3" t="s">
        <v>4</v>
      </c>
      <c r="O4" s="3" t="s">
        <v>3</v>
      </c>
      <c r="P4" s="3" t="s">
        <v>5</v>
      </c>
      <c r="Q4" s="3" t="s">
        <v>6</v>
      </c>
      <c r="R4" s="3" t="s">
        <v>3</v>
      </c>
      <c r="S4" s="3" t="s">
        <v>4</v>
      </c>
      <c r="T4" s="3" t="s">
        <v>3</v>
      </c>
      <c r="U4" s="3" t="s">
        <v>3</v>
      </c>
      <c r="V4" s="3" t="s">
        <v>3</v>
      </c>
      <c r="W4" s="3" t="s">
        <v>4</v>
      </c>
      <c r="X4" s="3" t="s">
        <v>4</v>
      </c>
      <c r="Y4" s="3" t="s">
        <v>6</v>
      </c>
      <c r="Z4" s="3" t="s">
        <v>6</v>
      </c>
      <c r="AA4" s="3" t="s">
        <v>6</v>
      </c>
      <c r="AB4" s="3" t="s">
        <v>6</v>
      </c>
      <c r="AC4" s="3" t="s">
        <v>5</v>
      </c>
      <c r="AD4" s="3" t="s">
        <v>6</v>
      </c>
      <c r="AE4" s="3" t="s">
        <v>6</v>
      </c>
    </row>
    <row r="5" customFormat="false" ht="15" hidden="false" customHeight="false" outlineLevel="0" collapsed="false">
      <c r="H5" s="3" t="n">
        <v>1</v>
      </c>
      <c r="I5" s="3" t="n">
        <v>2</v>
      </c>
      <c r="J5" s="3" t="n">
        <v>3.75</v>
      </c>
      <c r="K5" s="3" t="n">
        <v>4</v>
      </c>
      <c r="L5" s="3" t="n">
        <v>1</v>
      </c>
      <c r="M5" s="3" t="n">
        <v>1.25</v>
      </c>
      <c r="N5" s="3" t="n">
        <v>1.5</v>
      </c>
      <c r="O5" s="3" t="n">
        <v>1.5</v>
      </c>
      <c r="P5" s="3" t="n">
        <v>1.5</v>
      </c>
      <c r="Q5" s="3" t="n">
        <v>1.75</v>
      </c>
      <c r="R5" s="3" t="n">
        <v>2</v>
      </c>
      <c r="S5" s="3" t="n">
        <v>2</v>
      </c>
      <c r="T5" s="3" t="n">
        <v>2</v>
      </c>
      <c r="U5" s="3" t="n">
        <v>2</v>
      </c>
      <c r="V5" s="3" t="n">
        <v>2.5</v>
      </c>
      <c r="W5" s="3" t="n">
        <v>3</v>
      </c>
      <c r="X5" s="3" t="n">
        <v>3</v>
      </c>
      <c r="Y5" s="3" t="n">
        <v>3</v>
      </c>
      <c r="Z5" s="3" t="n">
        <v>3.25</v>
      </c>
      <c r="AA5" s="3" t="n">
        <v>3.75</v>
      </c>
      <c r="AB5" s="3" t="n">
        <v>4</v>
      </c>
      <c r="AC5" s="3" t="n">
        <v>4</v>
      </c>
      <c r="AD5" s="3" t="n">
        <v>4</v>
      </c>
      <c r="AE5" s="3" t="n">
        <v>4</v>
      </c>
    </row>
    <row r="6" customFormat="false" ht="105" hidden="false" customHeight="true" outlineLevel="0" collapsed="false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  <c r="V6" s="5" t="s">
        <v>28</v>
      </c>
      <c r="W6" s="5" t="s">
        <v>29</v>
      </c>
      <c r="X6" s="5" t="s">
        <v>30</v>
      </c>
      <c r="Y6" s="5" t="s">
        <v>31</v>
      </c>
      <c r="Z6" s="5" t="s">
        <v>32</v>
      </c>
      <c r="AA6" s="5" t="s">
        <v>33</v>
      </c>
      <c r="AB6" s="5" t="s">
        <v>34</v>
      </c>
      <c r="AC6" s="5" t="s">
        <v>35</v>
      </c>
      <c r="AD6" s="5" t="s">
        <v>36</v>
      </c>
      <c r="AE6" s="5" t="s">
        <v>37</v>
      </c>
    </row>
    <row r="7" customFormat="false" ht="15" hidden="false" customHeight="false" outlineLevel="0" collapsed="false">
      <c r="A7" s="6" t="s">
        <v>38</v>
      </c>
      <c r="B7" s="7" t="s">
        <v>39</v>
      </c>
      <c r="C7" s="7" t="s">
        <v>40</v>
      </c>
      <c r="D7" s="7" t="s">
        <v>41</v>
      </c>
      <c r="E7" s="8" t="s">
        <v>42</v>
      </c>
      <c r="F7" s="8" t="s">
        <v>43</v>
      </c>
      <c r="G7" s="9" t="n">
        <f aca="false">COUNTIF(H7:AE7,"X")+COUNTIF(H7:AE7,"MV")</f>
        <v>11</v>
      </c>
      <c r="H7" s="10"/>
      <c r="I7" s="11" t="s">
        <v>2</v>
      </c>
      <c r="J7" s="10"/>
      <c r="K7" s="10"/>
      <c r="L7" s="12" t="s">
        <v>44</v>
      </c>
      <c r="M7" s="12" t="s">
        <v>44</v>
      </c>
      <c r="N7" s="12" t="s">
        <v>44</v>
      </c>
      <c r="O7" s="12" t="s">
        <v>44</v>
      </c>
      <c r="P7" s="12" t="s">
        <v>44</v>
      </c>
      <c r="Q7" s="12" t="s">
        <v>44</v>
      </c>
      <c r="R7" s="10"/>
      <c r="S7" s="12" t="s">
        <v>44</v>
      </c>
      <c r="T7" s="12" t="s">
        <v>44</v>
      </c>
      <c r="U7" s="10"/>
      <c r="V7" s="12" t="s">
        <v>44</v>
      </c>
      <c r="W7" s="12" t="s">
        <v>44</v>
      </c>
      <c r="X7" s="10"/>
      <c r="Y7" s="10"/>
      <c r="Z7" s="10"/>
      <c r="AA7" s="10"/>
      <c r="AB7" s="10"/>
      <c r="AC7" s="10"/>
      <c r="AD7" s="10"/>
      <c r="AE7" s="10"/>
    </row>
    <row r="8" customFormat="false" ht="15" hidden="false" customHeight="false" outlineLevel="0" collapsed="false">
      <c r="A8" s="13" t="s">
        <v>45</v>
      </c>
      <c r="B8" s="14" t="s">
        <v>46</v>
      </c>
      <c r="C8" s="14" t="s">
        <v>47</v>
      </c>
      <c r="D8" s="14" t="s">
        <v>48</v>
      </c>
      <c r="E8" s="8" t="s">
        <v>49</v>
      </c>
      <c r="F8" s="8" t="s">
        <v>50</v>
      </c>
      <c r="G8" s="9" t="n">
        <f aca="false">COUNTIF(H8:AE8,"X")+COUNTIF(H8:AE8,"MV")</f>
        <v>10</v>
      </c>
      <c r="H8" s="10"/>
      <c r="I8" s="11" t="s">
        <v>2</v>
      </c>
      <c r="J8" s="10"/>
      <c r="K8" s="10"/>
      <c r="L8" s="10"/>
      <c r="M8" s="10"/>
      <c r="N8" s="10"/>
      <c r="O8" s="10"/>
      <c r="P8" s="12" t="s">
        <v>44</v>
      </c>
      <c r="Q8" s="10"/>
      <c r="R8" s="10"/>
      <c r="S8" s="10"/>
      <c r="T8" s="10"/>
      <c r="U8" s="12" t="s">
        <v>44</v>
      </c>
      <c r="V8" s="12" t="s">
        <v>44</v>
      </c>
      <c r="W8" s="10"/>
      <c r="X8" s="12" t="s">
        <v>44</v>
      </c>
      <c r="Y8" s="10"/>
      <c r="Z8" s="12" t="s">
        <v>44</v>
      </c>
      <c r="AA8" s="12" t="s">
        <v>44</v>
      </c>
      <c r="AB8" s="10"/>
      <c r="AC8" s="12" t="s">
        <v>44</v>
      </c>
      <c r="AD8" s="12" t="s">
        <v>44</v>
      </c>
      <c r="AE8" s="12" t="s">
        <v>44</v>
      </c>
    </row>
    <row r="9" customFormat="false" ht="15" hidden="false" customHeight="false" outlineLevel="0" collapsed="false">
      <c r="A9" s="13" t="s">
        <v>45</v>
      </c>
      <c r="B9" s="14" t="s">
        <v>46</v>
      </c>
      <c r="C9" s="14" t="s">
        <v>51</v>
      </c>
      <c r="D9" s="14" t="s">
        <v>48</v>
      </c>
      <c r="E9" s="8" t="s">
        <v>52</v>
      </c>
      <c r="F9" s="8" t="s">
        <v>50</v>
      </c>
      <c r="G9" s="9" t="n">
        <f aca="false">COUNTIF(H9:AE9,"X")+COUNTIF(H9:AE9,"MV")</f>
        <v>10</v>
      </c>
      <c r="H9" s="10"/>
      <c r="I9" s="11" t="s">
        <v>2</v>
      </c>
      <c r="J9" s="10"/>
      <c r="K9" s="10"/>
      <c r="L9" s="10"/>
      <c r="M9" s="10"/>
      <c r="N9" s="10"/>
      <c r="O9" s="10"/>
      <c r="P9" s="12" t="s">
        <v>44</v>
      </c>
      <c r="Q9" s="10"/>
      <c r="R9" s="10"/>
      <c r="S9" s="10"/>
      <c r="T9" s="10"/>
      <c r="U9" s="12" t="s">
        <v>44</v>
      </c>
      <c r="V9" s="12" t="s">
        <v>44</v>
      </c>
      <c r="W9" s="10"/>
      <c r="X9" s="12" t="s">
        <v>44</v>
      </c>
      <c r="Y9" s="10"/>
      <c r="Z9" s="12" t="s">
        <v>44</v>
      </c>
      <c r="AA9" s="12" t="s">
        <v>44</v>
      </c>
      <c r="AB9" s="10"/>
      <c r="AC9" s="12" t="s">
        <v>44</v>
      </c>
      <c r="AD9" s="12" t="s">
        <v>44</v>
      </c>
      <c r="AE9" s="12" t="s">
        <v>44</v>
      </c>
    </row>
    <row r="10" customFormat="false" ht="15" hidden="false" customHeight="false" outlineLevel="0" collapsed="false">
      <c r="A10" s="6" t="s">
        <v>53</v>
      </c>
      <c r="B10" s="7" t="s">
        <v>39</v>
      </c>
      <c r="C10" s="7" t="s">
        <v>54</v>
      </c>
      <c r="D10" s="7" t="s">
        <v>41</v>
      </c>
      <c r="E10" s="8" t="s">
        <v>55</v>
      </c>
      <c r="F10" s="8" t="s">
        <v>56</v>
      </c>
      <c r="G10" s="9" t="n">
        <f aca="false">COUNTIF(H10:AE10,"X")+COUNTIF(H10:AE10,"MV")</f>
        <v>11</v>
      </c>
      <c r="H10" s="10"/>
      <c r="I10" s="11" t="s">
        <v>2</v>
      </c>
      <c r="J10" s="10"/>
      <c r="K10" s="10"/>
      <c r="L10" s="12" t="s">
        <v>44</v>
      </c>
      <c r="M10" s="12" t="s">
        <v>44</v>
      </c>
      <c r="N10" s="12" t="s">
        <v>44</v>
      </c>
      <c r="O10" s="10"/>
      <c r="P10" s="12" t="s">
        <v>44</v>
      </c>
      <c r="Q10" s="12" t="s">
        <v>44</v>
      </c>
      <c r="R10" s="12" t="s">
        <v>44</v>
      </c>
      <c r="S10" s="12" t="s">
        <v>44</v>
      </c>
      <c r="T10" s="12" t="s">
        <v>44</v>
      </c>
      <c r="U10" s="10"/>
      <c r="V10" s="12" t="s">
        <v>44</v>
      </c>
      <c r="W10" s="12" t="s">
        <v>44</v>
      </c>
      <c r="X10" s="10"/>
      <c r="Y10" s="10"/>
      <c r="Z10" s="10"/>
      <c r="AA10" s="10"/>
      <c r="AB10" s="10"/>
      <c r="AC10" s="10"/>
      <c r="AD10" s="10"/>
      <c r="AE10" s="10"/>
    </row>
    <row r="11" customFormat="false" ht="15" hidden="false" customHeight="false" outlineLevel="0" collapsed="false">
      <c r="A11" s="6" t="s">
        <v>57</v>
      </c>
      <c r="B11" s="7" t="s">
        <v>46</v>
      </c>
      <c r="C11" s="7" t="s">
        <v>58</v>
      </c>
      <c r="D11" s="7" t="s">
        <v>41</v>
      </c>
      <c r="E11" s="8" t="s">
        <v>59</v>
      </c>
      <c r="F11" s="8" t="s">
        <v>60</v>
      </c>
      <c r="G11" s="9" t="n">
        <f aca="false">COUNTIF(H11:AE11,"X")+COUNTIF(H11:AE11,"MV")</f>
        <v>11</v>
      </c>
      <c r="H11" s="11" t="s">
        <v>2</v>
      </c>
      <c r="I11" s="10"/>
      <c r="J11" s="10"/>
      <c r="K11" s="10"/>
      <c r="L11" s="12" t="s">
        <v>44</v>
      </c>
      <c r="M11" s="12" t="s">
        <v>44</v>
      </c>
      <c r="N11" s="12" t="s">
        <v>44</v>
      </c>
      <c r="O11" s="12" t="s">
        <v>44</v>
      </c>
      <c r="P11" s="12" t="s">
        <v>44</v>
      </c>
      <c r="Q11" s="12" t="s">
        <v>44</v>
      </c>
      <c r="R11" s="12" t="s">
        <v>44</v>
      </c>
      <c r="S11" s="12" t="s">
        <v>44</v>
      </c>
      <c r="T11" s="12" t="s">
        <v>44</v>
      </c>
      <c r="U11" s="10"/>
      <c r="V11" s="10"/>
      <c r="W11" s="10"/>
      <c r="X11" s="12" t="s">
        <v>44</v>
      </c>
      <c r="Y11" s="10"/>
      <c r="Z11" s="10"/>
      <c r="AA11" s="10"/>
      <c r="AB11" s="10"/>
      <c r="AC11" s="10"/>
      <c r="AD11" s="10"/>
      <c r="AE11" s="10"/>
    </row>
    <row r="12" customFormat="false" ht="15" hidden="false" customHeight="false" outlineLevel="0" collapsed="false">
      <c r="A12" s="13" t="s">
        <v>61</v>
      </c>
      <c r="B12" s="14" t="s">
        <v>39</v>
      </c>
      <c r="C12" s="14" t="s">
        <v>62</v>
      </c>
      <c r="D12" s="14" t="s">
        <v>48</v>
      </c>
      <c r="E12" s="8" t="s">
        <v>63</v>
      </c>
      <c r="F12" s="8" t="s">
        <v>64</v>
      </c>
      <c r="G12" s="9" t="n">
        <f aca="false">COUNTIF(H12:AE12,"X")+COUNTIF(H12:AE12,"MV")</f>
        <v>10</v>
      </c>
      <c r="H12" s="10"/>
      <c r="I12" s="10"/>
      <c r="J12" s="10"/>
      <c r="K12" s="11" t="s">
        <v>2</v>
      </c>
      <c r="L12" s="10"/>
      <c r="M12" s="10"/>
      <c r="N12" s="10"/>
      <c r="O12" s="12" t="s">
        <v>44</v>
      </c>
      <c r="P12" s="10"/>
      <c r="Q12" s="10"/>
      <c r="R12" s="10"/>
      <c r="S12" s="10"/>
      <c r="T12" s="12" t="s">
        <v>44</v>
      </c>
      <c r="U12" s="10"/>
      <c r="V12" s="10"/>
      <c r="W12" s="12" t="s">
        <v>44</v>
      </c>
      <c r="X12" s="12" t="s">
        <v>44</v>
      </c>
      <c r="Y12" s="12" t="s">
        <v>44</v>
      </c>
      <c r="Z12" s="12" t="s">
        <v>44</v>
      </c>
      <c r="AA12" s="12" t="s">
        <v>44</v>
      </c>
      <c r="AB12" s="12" t="s">
        <v>44</v>
      </c>
      <c r="AC12" s="10"/>
      <c r="AD12" s="12" t="s">
        <v>44</v>
      </c>
      <c r="AE12" s="10"/>
    </row>
    <row r="13" customFormat="false" ht="15" hidden="false" customHeight="false" outlineLevel="0" collapsed="false">
      <c r="A13" s="13" t="s">
        <v>61</v>
      </c>
      <c r="B13" s="14" t="s">
        <v>39</v>
      </c>
      <c r="C13" s="14" t="s">
        <v>65</v>
      </c>
      <c r="D13" s="14" t="s">
        <v>48</v>
      </c>
      <c r="E13" s="8" t="s">
        <v>66</v>
      </c>
      <c r="F13" s="8" t="s">
        <v>64</v>
      </c>
      <c r="G13" s="9" t="n">
        <f aca="false">COUNTIF(H13:AE13,"X")+COUNTIF(H13:AE13,"MV")</f>
        <v>10</v>
      </c>
      <c r="H13" s="10"/>
      <c r="I13" s="10"/>
      <c r="J13" s="10"/>
      <c r="K13" s="11" t="s">
        <v>2</v>
      </c>
      <c r="L13" s="10"/>
      <c r="M13" s="10"/>
      <c r="N13" s="10"/>
      <c r="O13" s="12" t="s">
        <v>44</v>
      </c>
      <c r="P13" s="10"/>
      <c r="Q13" s="10"/>
      <c r="R13" s="10"/>
      <c r="S13" s="10"/>
      <c r="T13" s="12" t="s">
        <v>44</v>
      </c>
      <c r="U13" s="10"/>
      <c r="V13" s="10"/>
      <c r="W13" s="12" t="s">
        <v>44</v>
      </c>
      <c r="X13" s="12" t="s">
        <v>44</v>
      </c>
      <c r="Y13" s="12" t="s">
        <v>44</v>
      </c>
      <c r="Z13" s="12" t="s">
        <v>44</v>
      </c>
      <c r="AA13" s="12" t="s">
        <v>44</v>
      </c>
      <c r="AB13" s="12" t="s">
        <v>44</v>
      </c>
      <c r="AC13" s="10"/>
      <c r="AD13" s="12" t="s">
        <v>44</v>
      </c>
      <c r="AE13" s="10"/>
    </row>
    <row r="14" customFormat="false" ht="15" hidden="false" customHeight="false" outlineLevel="0" collapsed="false">
      <c r="A14" s="6" t="s">
        <v>67</v>
      </c>
      <c r="B14" s="7" t="s">
        <v>46</v>
      </c>
      <c r="C14" s="7" t="s">
        <v>68</v>
      </c>
      <c r="D14" s="7" t="s">
        <v>41</v>
      </c>
      <c r="E14" s="8" t="s">
        <v>69</v>
      </c>
      <c r="F14" s="8" t="s">
        <v>70</v>
      </c>
      <c r="G14" s="9" t="n">
        <f aca="false">COUNTIF(H14:AE14,"X")+COUNTIF(H14:AE14,"MV")</f>
        <v>11</v>
      </c>
      <c r="H14" s="10"/>
      <c r="I14" s="11" t="s">
        <v>2</v>
      </c>
      <c r="J14" s="10"/>
      <c r="K14" s="10"/>
      <c r="L14" s="12" t="s">
        <v>44</v>
      </c>
      <c r="M14" s="12" t="s">
        <v>44</v>
      </c>
      <c r="N14" s="12" t="s">
        <v>44</v>
      </c>
      <c r="O14" s="10"/>
      <c r="P14" s="12" t="s">
        <v>44</v>
      </c>
      <c r="Q14" s="12" t="s">
        <v>44</v>
      </c>
      <c r="R14" s="12" t="s">
        <v>44</v>
      </c>
      <c r="S14" s="12" t="s">
        <v>44</v>
      </c>
      <c r="T14" s="12" t="s">
        <v>44</v>
      </c>
      <c r="U14" s="10"/>
      <c r="V14" s="10"/>
      <c r="W14" s="12" t="s">
        <v>44</v>
      </c>
      <c r="X14" s="10"/>
      <c r="Y14" s="12" t="s">
        <v>44</v>
      </c>
      <c r="Z14" s="10"/>
      <c r="AA14" s="10"/>
      <c r="AB14" s="10"/>
      <c r="AC14" s="10"/>
      <c r="AD14" s="10"/>
      <c r="AE14" s="10"/>
    </row>
    <row r="15" customFormat="false" ht="15" hidden="false" customHeight="false" outlineLevel="0" collapsed="false">
      <c r="A15" s="13" t="s">
        <v>71</v>
      </c>
      <c r="B15" s="14" t="s">
        <v>39</v>
      </c>
      <c r="C15" s="14" t="s">
        <v>72</v>
      </c>
      <c r="D15" s="14" t="s">
        <v>48</v>
      </c>
      <c r="E15" s="8" t="s">
        <v>73</v>
      </c>
      <c r="F15" s="8" t="s">
        <v>43</v>
      </c>
      <c r="G15" s="9" t="n">
        <f aca="false">COUNTIF(H15:AE15,"X")+COUNTIF(H15:AE15,"MV")</f>
        <v>10</v>
      </c>
      <c r="H15" s="10"/>
      <c r="I15" s="10"/>
      <c r="J15" s="11" t="s">
        <v>2</v>
      </c>
      <c r="K15" s="10"/>
      <c r="L15" s="10"/>
      <c r="M15" s="10"/>
      <c r="N15" s="12" t="s">
        <v>44</v>
      </c>
      <c r="O15" s="10"/>
      <c r="P15" s="12" t="s">
        <v>44</v>
      </c>
      <c r="Q15" s="10"/>
      <c r="R15" s="10"/>
      <c r="S15" s="10"/>
      <c r="T15" s="10"/>
      <c r="U15" s="12" t="s">
        <v>44</v>
      </c>
      <c r="V15" s="12" t="s">
        <v>44</v>
      </c>
      <c r="W15" s="12" t="s">
        <v>44</v>
      </c>
      <c r="X15" s="10"/>
      <c r="Y15" s="10"/>
      <c r="Z15" s="10"/>
      <c r="AA15" s="12" t="s">
        <v>44</v>
      </c>
      <c r="AB15" s="12" t="s">
        <v>44</v>
      </c>
      <c r="AC15" s="10"/>
      <c r="AD15" s="12" t="s">
        <v>44</v>
      </c>
      <c r="AE15" s="12" t="s">
        <v>44</v>
      </c>
    </row>
    <row r="16" customFormat="false" ht="15" hidden="false" customHeight="false" outlineLevel="0" collapsed="false">
      <c r="A16" s="6" t="s">
        <v>74</v>
      </c>
      <c r="B16" s="7" t="s">
        <v>39</v>
      </c>
      <c r="C16" s="7" t="s">
        <v>58</v>
      </c>
      <c r="D16" s="7" t="s">
        <v>41</v>
      </c>
      <c r="E16" s="8" t="s">
        <v>75</v>
      </c>
      <c r="F16" s="8" t="s">
        <v>76</v>
      </c>
      <c r="G16" s="9" t="n">
        <f aca="false">COUNTIF(H16:AE16,"X")+COUNTIF(H16:AE16,"MV")</f>
        <v>11</v>
      </c>
      <c r="H16" s="10"/>
      <c r="I16" s="11" t="s">
        <v>2</v>
      </c>
      <c r="J16" s="10"/>
      <c r="K16" s="10"/>
      <c r="L16" s="12" t="s">
        <v>44</v>
      </c>
      <c r="M16" s="12" t="s">
        <v>44</v>
      </c>
      <c r="N16" s="12" t="s">
        <v>44</v>
      </c>
      <c r="O16" s="10"/>
      <c r="P16" s="12" t="s">
        <v>44</v>
      </c>
      <c r="Q16" s="12" t="s">
        <v>44</v>
      </c>
      <c r="R16" s="12" t="s">
        <v>44</v>
      </c>
      <c r="S16" s="12" t="s">
        <v>44</v>
      </c>
      <c r="T16" s="10"/>
      <c r="U16" s="12" t="s">
        <v>44</v>
      </c>
      <c r="V16" s="12" t="s">
        <v>44</v>
      </c>
      <c r="W16" s="10"/>
      <c r="X16" s="10"/>
      <c r="Y16" s="12" t="s">
        <v>44</v>
      </c>
      <c r="Z16" s="10"/>
      <c r="AA16" s="10"/>
      <c r="AB16" s="10"/>
      <c r="AC16" s="10"/>
      <c r="AD16" s="10"/>
      <c r="AE16" s="10"/>
    </row>
    <row r="17" customFormat="false" ht="15" hidden="false" customHeight="false" outlineLevel="0" collapsed="false">
      <c r="A17" s="6" t="s">
        <v>77</v>
      </c>
      <c r="B17" s="7" t="s">
        <v>39</v>
      </c>
      <c r="C17" s="7" t="s">
        <v>78</v>
      </c>
      <c r="D17" s="7" t="s">
        <v>41</v>
      </c>
      <c r="E17" s="8" t="s">
        <v>79</v>
      </c>
      <c r="F17" s="8" t="s">
        <v>80</v>
      </c>
      <c r="G17" s="9" t="n">
        <f aca="false">COUNTIF(H17:AE17,"X")+COUNTIF(H17:AE17,"MV")</f>
        <v>11</v>
      </c>
      <c r="H17" s="11" t="s">
        <v>2</v>
      </c>
      <c r="I17" s="10"/>
      <c r="J17" s="10"/>
      <c r="K17" s="10"/>
      <c r="L17" s="12" t="s">
        <v>44</v>
      </c>
      <c r="M17" s="12" t="s">
        <v>44</v>
      </c>
      <c r="N17" s="12" t="s">
        <v>44</v>
      </c>
      <c r="O17" s="12" t="s">
        <v>44</v>
      </c>
      <c r="P17" s="12" t="s">
        <v>44</v>
      </c>
      <c r="Q17" s="12" t="s">
        <v>44</v>
      </c>
      <c r="R17" s="12" t="s">
        <v>44</v>
      </c>
      <c r="S17" s="12" t="s">
        <v>44</v>
      </c>
      <c r="T17" s="12" t="s">
        <v>44</v>
      </c>
      <c r="U17" s="10"/>
      <c r="V17" s="10"/>
      <c r="W17" s="10"/>
      <c r="X17" s="10"/>
      <c r="Y17" s="10"/>
      <c r="Z17" s="12" t="s">
        <v>44</v>
      </c>
      <c r="AA17" s="10"/>
      <c r="AB17" s="10"/>
      <c r="AC17" s="10"/>
      <c r="AD17" s="10"/>
      <c r="AE17" s="10"/>
    </row>
    <row r="18" customFormat="false" ht="15" hidden="false" customHeight="false" outlineLevel="0" collapsed="false">
      <c r="A18" s="13" t="s">
        <v>77</v>
      </c>
      <c r="B18" s="14" t="s">
        <v>39</v>
      </c>
      <c r="C18" s="14" t="s">
        <v>81</v>
      </c>
      <c r="D18" s="14" t="s">
        <v>48</v>
      </c>
      <c r="E18" s="8" t="s">
        <v>52</v>
      </c>
      <c r="F18" s="8" t="s">
        <v>82</v>
      </c>
      <c r="G18" s="9" t="n">
        <f aca="false">COUNTIF(H18:AE18,"X")+COUNTIF(H18:AE18,"MV")</f>
        <v>10</v>
      </c>
      <c r="H18" s="10"/>
      <c r="I18" s="10"/>
      <c r="J18" s="11" t="s">
        <v>2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2" t="s">
        <v>44</v>
      </c>
      <c r="V18" s="12" t="s">
        <v>44</v>
      </c>
      <c r="W18" s="12" t="s">
        <v>44</v>
      </c>
      <c r="X18" s="10"/>
      <c r="Y18" s="12" t="s">
        <v>44</v>
      </c>
      <c r="Z18" s="10"/>
      <c r="AA18" s="12" t="s">
        <v>44</v>
      </c>
      <c r="AB18" s="12" t="s">
        <v>44</v>
      </c>
      <c r="AC18" s="12" t="s">
        <v>44</v>
      </c>
      <c r="AD18" s="12" t="s">
        <v>44</v>
      </c>
      <c r="AE18" s="12" t="s">
        <v>44</v>
      </c>
    </row>
    <row r="19" customFormat="false" ht="15" hidden="false" customHeight="false" outlineLevel="0" collapsed="false">
      <c r="A19" s="13" t="s">
        <v>77</v>
      </c>
      <c r="B19" s="14" t="s">
        <v>39</v>
      </c>
      <c r="C19" s="14" t="s">
        <v>83</v>
      </c>
      <c r="D19" s="14" t="s">
        <v>48</v>
      </c>
      <c r="E19" s="8" t="s">
        <v>49</v>
      </c>
      <c r="F19" s="8" t="s">
        <v>82</v>
      </c>
      <c r="G19" s="9" t="n">
        <f aca="false">COUNTIF(H19:AE19,"X")+COUNTIF(H19:AE19,"MV")</f>
        <v>10</v>
      </c>
      <c r="H19" s="10"/>
      <c r="I19" s="10"/>
      <c r="J19" s="11" t="s">
        <v>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2" t="s">
        <v>44</v>
      </c>
      <c r="V19" s="12" t="s">
        <v>44</v>
      </c>
      <c r="W19" s="12" t="s">
        <v>44</v>
      </c>
      <c r="X19" s="10"/>
      <c r="Y19" s="12" t="s">
        <v>44</v>
      </c>
      <c r="Z19" s="10"/>
      <c r="AA19" s="12" t="s">
        <v>44</v>
      </c>
      <c r="AB19" s="12" t="s">
        <v>44</v>
      </c>
      <c r="AC19" s="12" t="s">
        <v>44</v>
      </c>
      <c r="AD19" s="12" t="s">
        <v>44</v>
      </c>
      <c r="AE19" s="12" t="s">
        <v>44</v>
      </c>
    </row>
    <row r="20" customFormat="false" ht="15" hidden="false" customHeight="false" outlineLevel="0" collapsed="false">
      <c r="A20" s="6" t="s">
        <v>84</v>
      </c>
      <c r="B20" s="7" t="s">
        <v>46</v>
      </c>
      <c r="C20" s="7" t="s">
        <v>85</v>
      </c>
      <c r="D20" s="7" t="s">
        <v>41</v>
      </c>
      <c r="E20" s="8" t="s">
        <v>86</v>
      </c>
      <c r="F20" s="8" t="s">
        <v>87</v>
      </c>
      <c r="G20" s="9" t="n">
        <f aca="false">COUNTIF(H20:AE20,"X")+COUNTIF(H20:AE20,"MV")</f>
        <v>11</v>
      </c>
      <c r="H20" s="10"/>
      <c r="I20" s="11" t="s">
        <v>2</v>
      </c>
      <c r="J20" s="10"/>
      <c r="K20" s="10"/>
      <c r="L20" s="12" t="s">
        <v>44</v>
      </c>
      <c r="M20" s="12" t="s">
        <v>44</v>
      </c>
      <c r="N20" s="12" t="s">
        <v>44</v>
      </c>
      <c r="O20" s="10"/>
      <c r="P20" s="12" t="s">
        <v>44</v>
      </c>
      <c r="Q20" s="12" t="s">
        <v>44</v>
      </c>
      <c r="R20" s="12" t="s">
        <v>44</v>
      </c>
      <c r="S20" s="12" t="s">
        <v>44</v>
      </c>
      <c r="T20" s="12" t="s">
        <v>44</v>
      </c>
      <c r="U20" s="10"/>
      <c r="V20" s="10"/>
      <c r="W20" s="12" t="s">
        <v>44</v>
      </c>
      <c r="X20" s="12" t="s">
        <v>44</v>
      </c>
      <c r="Y20" s="10"/>
      <c r="Z20" s="10"/>
      <c r="AA20" s="10"/>
      <c r="AB20" s="10"/>
      <c r="AC20" s="10"/>
      <c r="AD20" s="10"/>
      <c r="AE20" s="10"/>
    </row>
    <row r="21" customFormat="false" ht="15" hidden="false" customHeight="false" outlineLevel="0" collapsed="false">
      <c r="A21" s="13" t="s">
        <v>88</v>
      </c>
      <c r="B21" s="14" t="s">
        <v>46</v>
      </c>
      <c r="C21" s="14" t="s">
        <v>62</v>
      </c>
      <c r="D21" s="14" t="s">
        <v>48</v>
      </c>
      <c r="E21" s="8" t="s">
        <v>89</v>
      </c>
      <c r="F21" s="8" t="s">
        <v>80</v>
      </c>
      <c r="G21" s="9" t="n">
        <f aca="false">COUNTIF(H21:AE21,"X")+COUNTIF(H21:AE21,"MV")</f>
        <v>10</v>
      </c>
      <c r="H21" s="10"/>
      <c r="I21" s="10"/>
      <c r="J21" s="11" t="s">
        <v>2</v>
      </c>
      <c r="K21" s="10"/>
      <c r="L21" s="10"/>
      <c r="M21" s="10"/>
      <c r="N21" s="10"/>
      <c r="O21" s="10"/>
      <c r="P21" s="10"/>
      <c r="Q21" s="10"/>
      <c r="R21" s="12" t="s">
        <v>44</v>
      </c>
      <c r="S21" s="10"/>
      <c r="T21" s="10"/>
      <c r="U21" s="10"/>
      <c r="V21" s="12" t="s">
        <v>44</v>
      </c>
      <c r="W21" s="12" t="s">
        <v>44</v>
      </c>
      <c r="X21" s="12" t="s">
        <v>44</v>
      </c>
      <c r="Y21" s="10"/>
      <c r="Z21" s="12" t="s">
        <v>44</v>
      </c>
      <c r="AA21" s="12" t="s">
        <v>44</v>
      </c>
      <c r="AB21" s="12" t="s">
        <v>44</v>
      </c>
      <c r="AC21" s="12" t="s">
        <v>44</v>
      </c>
      <c r="AD21" s="10"/>
      <c r="AE21" s="12" t="s">
        <v>44</v>
      </c>
    </row>
    <row r="22" customFormat="false" ht="15" hidden="false" customHeight="false" outlineLevel="0" collapsed="false">
      <c r="A22" s="13" t="s">
        <v>88</v>
      </c>
      <c r="B22" s="14" t="s">
        <v>46</v>
      </c>
      <c r="C22" s="14" t="s">
        <v>90</v>
      </c>
      <c r="D22" s="14" t="s">
        <v>48</v>
      </c>
      <c r="E22" s="8" t="s">
        <v>91</v>
      </c>
      <c r="F22" s="8" t="s">
        <v>80</v>
      </c>
      <c r="G22" s="9" t="n">
        <f aca="false">COUNTIF(H22:AE22,"X")+COUNTIF(H22:AE22,"MV")</f>
        <v>10</v>
      </c>
      <c r="H22" s="10"/>
      <c r="I22" s="10"/>
      <c r="J22" s="11" t="s">
        <v>2</v>
      </c>
      <c r="K22" s="10"/>
      <c r="L22" s="10"/>
      <c r="M22" s="10"/>
      <c r="N22" s="10"/>
      <c r="O22" s="10"/>
      <c r="P22" s="10"/>
      <c r="Q22" s="10"/>
      <c r="R22" s="12" t="s">
        <v>44</v>
      </c>
      <c r="S22" s="10"/>
      <c r="T22" s="10"/>
      <c r="U22" s="10"/>
      <c r="V22" s="12" t="s">
        <v>44</v>
      </c>
      <c r="W22" s="12" t="s">
        <v>44</v>
      </c>
      <c r="X22" s="12" t="s">
        <v>44</v>
      </c>
      <c r="Y22" s="10"/>
      <c r="Z22" s="12" t="s">
        <v>44</v>
      </c>
      <c r="AA22" s="12" t="s">
        <v>44</v>
      </c>
      <c r="AB22" s="12" t="s">
        <v>44</v>
      </c>
      <c r="AC22" s="12" t="s">
        <v>44</v>
      </c>
      <c r="AD22" s="10"/>
      <c r="AE22" s="12" t="s">
        <v>44</v>
      </c>
    </row>
    <row r="23" customFormat="false" ht="15" hidden="false" customHeight="false" outlineLevel="0" collapsed="false">
      <c r="A23" s="6" t="s">
        <v>88</v>
      </c>
      <c r="B23" s="7" t="s">
        <v>46</v>
      </c>
      <c r="C23" s="7" t="s">
        <v>92</v>
      </c>
      <c r="D23" s="7" t="s">
        <v>41</v>
      </c>
      <c r="E23" s="8" t="s">
        <v>93</v>
      </c>
      <c r="F23" s="8" t="s">
        <v>80</v>
      </c>
      <c r="G23" s="9" t="n">
        <f aca="false">COUNTIF(H23:AE23,"X")+COUNTIF(H23:AE23,"MV")</f>
        <v>11</v>
      </c>
      <c r="H23" s="11" t="s">
        <v>2</v>
      </c>
      <c r="I23" s="10"/>
      <c r="J23" s="10"/>
      <c r="K23" s="10"/>
      <c r="L23" s="12" t="s">
        <v>44</v>
      </c>
      <c r="M23" s="12" t="s">
        <v>44</v>
      </c>
      <c r="N23" s="12" t="s">
        <v>44</v>
      </c>
      <c r="O23" s="12" t="s">
        <v>44</v>
      </c>
      <c r="P23" s="12" t="s">
        <v>44</v>
      </c>
      <c r="Q23" s="12" t="s">
        <v>44</v>
      </c>
      <c r="R23" s="10"/>
      <c r="S23" s="12" t="s">
        <v>44</v>
      </c>
      <c r="T23" s="12" t="s">
        <v>44</v>
      </c>
      <c r="U23" s="12" t="s">
        <v>44</v>
      </c>
      <c r="V23" s="10"/>
      <c r="W23" s="10"/>
      <c r="X23" s="10"/>
      <c r="Y23" s="12" t="s">
        <v>44</v>
      </c>
      <c r="Z23" s="10"/>
      <c r="AA23" s="10"/>
      <c r="AB23" s="10"/>
      <c r="AC23" s="10"/>
      <c r="AD23" s="10"/>
      <c r="AE23" s="10"/>
    </row>
    <row r="24" customFormat="false" ht="15" hidden="false" customHeight="false" outlineLevel="0" collapsed="false">
      <c r="A24" s="13" t="s">
        <v>94</v>
      </c>
      <c r="B24" s="14" t="s">
        <v>39</v>
      </c>
      <c r="C24" s="14" t="s">
        <v>95</v>
      </c>
      <c r="D24" s="14" t="s">
        <v>48</v>
      </c>
      <c r="E24" s="8" t="s">
        <v>96</v>
      </c>
      <c r="F24" s="8" t="s">
        <v>97</v>
      </c>
      <c r="G24" s="9" t="n">
        <f aca="false">COUNTIF(H24:AE24,"X")+COUNTIF(H24:AE24,"MV")</f>
        <v>10</v>
      </c>
      <c r="H24" s="10"/>
      <c r="I24" s="10"/>
      <c r="J24" s="10"/>
      <c r="K24" s="11" t="s">
        <v>2</v>
      </c>
      <c r="L24" s="10"/>
      <c r="M24" s="10"/>
      <c r="N24" s="10"/>
      <c r="O24" s="10"/>
      <c r="P24" s="10"/>
      <c r="Q24" s="10"/>
      <c r="R24" s="12" t="s">
        <v>44</v>
      </c>
      <c r="S24" s="10"/>
      <c r="T24" s="10"/>
      <c r="U24" s="10"/>
      <c r="V24" s="12" t="s">
        <v>44</v>
      </c>
      <c r="W24" s="10"/>
      <c r="X24" s="12" t="s">
        <v>44</v>
      </c>
      <c r="Y24" s="12" t="s">
        <v>44</v>
      </c>
      <c r="Z24" s="12" t="s">
        <v>44</v>
      </c>
      <c r="AA24" s="12" t="s">
        <v>44</v>
      </c>
      <c r="AB24" s="12" t="s">
        <v>44</v>
      </c>
      <c r="AC24" s="12" t="s">
        <v>44</v>
      </c>
      <c r="AD24" s="12" t="s">
        <v>44</v>
      </c>
      <c r="AE24" s="10"/>
    </row>
    <row r="25" customFormat="false" ht="15" hidden="false" customHeight="false" outlineLevel="0" collapsed="false">
      <c r="A25" s="13" t="s">
        <v>94</v>
      </c>
      <c r="B25" s="14" t="s">
        <v>39</v>
      </c>
      <c r="C25" s="14" t="s">
        <v>65</v>
      </c>
      <c r="D25" s="14" t="s">
        <v>48</v>
      </c>
      <c r="E25" s="8" t="s">
        <v>91</v>
      </c>
      <c r="F25" s="8" t="s">
        <v>97</v>
      </c>
      <c r="G25" s="9" t="n">
        <f aca="false">COUNTIF(H25:AE25,"X")+COUNTIF(H25:AE25,"MV")</f>
        <v>10</v>
      </c>
      <c r="H25" s="10"/>
      <c r="I25" s="10"/>
      <c r="J25" s="10"/>
      <c r="K25" s="11" t="s">
        <v>2</v>
      </c>
      <c r="L25" s="10"/>
      <c r="M25" s="10"/>
      <c r="N25" s="10"/>
      <c r="O25" s="10"/>
      <c r="P25" s="10"/>
      <c r="Q25" s="10"/>
      <c r="R25" s="12" t="s">
        <v>44</v>
      </c>
      <c r="S25" s="10"/>
      <c r="T25" s="10"/>
      <c r="U25" s="10"/>
      <c r="V25" s="12" t="s">
        <v>44</v>
      </c>
      <c r="W25" s="10"/>
      <c r="X25" s="12" t="s">
        <v>44</v>
      </c>
      <c r="Y25" s="12" t="s">
        <v>44</v>
      </c>
      <c r="Z25" s="12" t="s">
        <v>44</v>
      </c>
      <c r="AA25" s="12" t="s">
        <v>44</v>
      </c>
      <c r="AB25" s="12" t="s">
        <v>44</v>
      </c>
      <c r="AC25" s="12" t="s">
        <v>44</v>
      </c>
      <c r="AD25" s="12" t="s">
        <v>44</v>
      </c>
      <c r="AE25" s="10"/>
    </row>
    <row r="26" customFormat="false" ht="15" hidden="false" customHeight="false" outlineLevel="0" collapsed="false">
      <c r="A26" s="6" t="s">
        <v>94</v>
      </c>
      <c r="B26" s="7" t="s">
        <v>39</v>
      </c>
      <c r="C26" s="7" t="s">
        <v>98</v>
      </c>
      <c r="D26" s="7" t="s">
        <v>41</v>
      </c>
      <c r="E26" s="8" t="s">
        <v>99</v>
      </c>
      <c r="F26" s="8" t="s">
        <v>100</v>
      </c>
      <c r="G26" s="9" t="n">
        <f aca="false">COUNTIF(H26:AE26,"X")+COUNTIF(H26:AE26,"MV")</f>
        <v>11</v>
      </c>
      <c r="H26" s="10"/>
      <c r="I26" s="11" t="s">
        <v>2</v>
      </c>
      <c r="J26" s="10"/>
      <c r="K26" s="10"/>
      <c r="L26" s="12" t="s">
        <v>44</v>
      </c>
      <c r="M26" s="12" t="s">
        <v>44</v>
      </c>
      <c r="N26" s="12" t="s">
        <v>44</v>
      </c>
      <c r="O26" s="12" t="s">
        <v>44</v>
      </c>
      <c r="P26" s="12" t="s">
        <v>44</v>
      </c>
      <c r="Q26" s="12" t="s">
        <v>44</v>
      </c>
      <c r="R26" s="10"/>
      <c r="S26" s="12" t="s">
        <v>44</v>
      </c>
      <c r="T26" s="12" t="s">
        <v>44</v>
      </c>
      <c r="U26" s="12" t="s">
        <v>44</v>
      </c>
      <c r="V26" s="10"/>
      <c r="W26" s="12" t="s">
        <v>44</v>
      </c>
      <c r="X26" s="10"/>
      <c r="Y26" s="10"/>
      <c r="Z26" s="10"/>
      <c r="AA26" s="10"/>
      <c r="AB26" s="10"/>
      <c r="AC26" s="10"/>
      <c r="AD26" s="10"/>
      <c r="AE26" s="10"/>
    </row>
    <row r="27" customFormat="false" ht="15" hidden="false" customHeight="false" outlineLevel="0" collapsed="false">
      <c r="A27" s="6" t="s">
        <v>101</v>
      </c>
      <c r="B27" s="7" t="s">
        <v>46</v>
      </c>
      <c r="C27" s="7" t="s">
        <v>102</v>
      </c>
      <c r="D27" s="7" t="s">
        <v>41</v>
      </c>
      <c r="E27" s="8" t="s">
        <v>103</v>
      </c>
      <c r="F27" s="8" t="s">
        <v>43</v>
      </c>
      <c r="G27" s="9" t="n">
        <f aca="false">COUNTIF(H27:AE27,"X")+COUNTIF(H27:AE27,"MV")</f>
        <v>11</v>
      </c>
      <c r="H27" s="11" t="s">
        <v>2</v>
      </c>
      <c r="I27" s="10"/>
      <c r="J27" s="10"/>
      <c r="K27" s="10"/>
      <c r="L27" s="12" t="s">
        <v>44</v>
      </c>
      <c r="M27" s="12" t="s">
        <v>44</v>
      </c>
      <c r="N27" s="12" t="s">
        <v>44</v>
      </c>
      <c r="O27" s="12" t="s">
        <v>44</v>
      </c>
      <c r="P27" s="12" t="s">
        <v>44</v>
      </c>
      <c r="Q27" s="12" t="s">
        <v>44</v>
      </c>
      <c r="R27" s="10"/>
      <c r="S27" s="12" t="s">
        <v>44</v>
      </c>
      <c r="T27" s="12" t="s">
        <v>44</v>
      </c>
      <c r="U27" s="12" t="s">
        <v>44</v>
      </c>
      <c r="V27" s="10"/>
      <c r="W27" s="10"/>
      <c r="X27" s="10"/>
      <c r="Y27" s="10"/>
      <c r="Z27" s="12" t="s">
        <v>44</v>
      </c>
      <c r="AA27" s="10"/>
      <c r="AB27" s="10"/>
      <c r="AC27" s="10"/>
      <c r="AD27" s="10"/>
      <c r="AE27" s="10"/>
    </row>
    <row r="28" customFormat="false" ht="15" hidden="false" customHeight="false" outlineLevel="0" collapsed="false">
      <c r="A28" s="13" t="s">
        <v>101</v>
      </c>
      <c r="B28" s="14" t="s">
        <v>46</v>
      </c>
      <c r="C28" s="14" t="s">
        <v>104</v>
      </c>
      <c r="D28" s="14" t="s">
        <v>48</v>
      </c>
      <c r="E28" s="8" t="s">
        <v>105</v>
      </c>
      <c r="F28" s="8" t="s">
        <v>106</v>
      </c>
      <c r="G28" s="9" t="n">
        <f aca="false">COUNTIF(H28:AE28,"X")+COUNTIF(H28:AE28,"MV")</f>
        <v>10</v>
      </c>
      <c r="H28" s="10"/>
      <c r="I28" s="10"/>
      <c r="J28" s="10"/>
      <c r="K28" s="11" t="s">
        <v>2</v>
      </c>
      <c r="L28" s="10"/>
      <c r="M28" s="10"/>
      <c r="N28" s="10"/>
      <c r="O28" s="10"/>
      <c r="P28" s="10"/>
      <c r="Q28" s="10"/>
      <c r="R28" s="12" t="s">
        <v>44</v>
      </c>
      <c r="S28" s="10"/>
      <c r="T28" s="10"/>
      <c r="U28" s="10"/>
      <c r="V28" s="12" t="s">
        <v>44</v>
      </c>
      <c r="W28" s="12" t="s">
        <v>44</v>
      </c>
      <c r="X28" s="12" t="s">
        <v>44</v>
      </c>
      <c r="Y28" s="12" t="s">
        <v>44</v>
      </c>
      <c r="Z28" s="10"/>
      <c r="AA28" s="10"/>
      <c r="AB28" s="12" t="s">
        <v>44</v>
      </c>
      <c r="AC28" s="12" t="s">
        <v>44</v>
      </c>
      <c r="AD28" s="12" t="s">
        <v>44</v>
      </c>
      <c r="AE28" s="12" t="s">
        <v>44</v>
      </c>
    </row>
    <row r="29" customFormat="false" ht="15" hidden="false" customHeight="false" outlineLevel="0" collapsed="false">
      <c r="A29" s="6" t="s">
        <v>107</v>
      </c>
      <c r="B29" s="7" t="s">
        <v>39</v>
      </c>
      <c r="C29" s="7" t="s">
        <v>108</v>
      </c>
      <c r="D29" s="7" t="s">
        <v>41</v>
      </c>
      <c r="E29" s="8" t="s">
        <v>109</v>
      </c>
      <c r="F29" s="8" t="s">
        <v>110</v>
      </c>
      <c r="G29" s="9" t="n">
        <f aca="false">COUNTIF(H29:AE29,"X")+COUNTIF(H29:AE29,"MV")</f>
        <v>11</v>
      </c>
      <c r="H29" s="11" t="s">
        <v>2</v>
      </c>
      <c r="I29" s="10"/>
      <c r="J29" s="10"/>
      <c r="K29" s="10"/>
      <c r="L29" s="12" t="s">
        <v>44</v>
      </c>
      <c r="M29" s="12" t="s">
        <v>44</v>
      </c>
      <c r="N29" s="12" t="s">
        <v>44</v>
      </c>
      <c r="O29" s="10"/>
      <c r="P29" s="12" t="s">
        <v>44</v>
      </c>
      <c r="Q29" s="12" t="s">
        <v>44</v>
      </c>
      <c r="R29" s="12" t="s">
        <v>44</v>
      </c>
      <c r="S29" s="12" t="s">
        <v>44</v>
      </c>
      <c r="T29" s="12" t="s">
        <v>44</v>
      </c>
      <c r="U29" s="12" t="s">
        <v>44</v>
      </c>
      <c r="V29" s="10"/>
      <c r="W29" s="10"/>
      <c r="X29" s="10"/>
      <c r="Y29" s="12" t="s">
        <v>44</v>
      </c>
      <c r="Z29" s="10"/>
      <c r="AA29" s="10"/>
      <c r="AB29" s="10"/>
      <c r="AC29" s="10"/>
      <c r="AD29" s="10"/>
      <c r="AE29" s="10"/>
    </row>
    <row r="30" customFormat="false" ht="15" hidden="false" customHeight="false" outlineLevel="0" collapsed="false">
      <c r="A30" s="6" t="s">
        <v>111</v>
      </c>
      <c r="B30" s="7" t="s">
        <v>46</v>
      </c>
      <c r="C30" s="7" t="s">
        <v>102</v>
      </c>
      <c r="D30" s="7" t="s">
        <v>41</v>
      </c>
      <c r="E30" s="8" t="s">
        <v>112</v>
      </c>
      <c r="F30" s="8" t="s">
        <v>43</v>
      </c>
      <c r="G30" s="9" t="n">
        <f aca="false">COUNTIF(H30:AE30,"X")+COUNTIF(H30:AE30,"MV")</f>
        <v>11</v>
      </c>
      <c r="H30" s="11" t="s">
        <v>2</v>
      </c>
      <c r="I30" s="10"/>
      <c r="J30" s="10"/>
      <c r="K30" s="10"/>
      <c r="L30" s="12" t="s">
        <v>44</v>
      </c>
      <c r="M30" s="12" t="s">
        <v>44</v>
      </c>
      <c r="N30" s="12" t="s">
        <v>44</v>
      </c>
      <c r="O30" s="12" t="s">
        <v>44</v>
      </c>
      <c r="P30" s="12" t="s">
        <v>44</v>
      </c>
      <c r="Q30" s="12" t="s">
        <v>44</v>
      </c>
      <c r="R30" s="12" t="s">
        <v>44</v>
      </c>
      <c r="S30" s="12" t="s">
        <v>44</v>
      </c>
      <c r="T30" s="10"/>
      <c r="U30" s="12" t="s">
        <v>44</v>
      </c>
      <c r="V30" s="10"/>
      <c r="W30" s="10"/>
      <c r="X30" s="12" t="s">
        <v>44</v>
      </c>
      <c r="Y30" s="10"/>
      <c r="Z30" s="10"/>
      <c r="AA30" s="10"/>
      <c r="AB30" s="10"/>
      <c r="AC30" s="10"/>
      <c r="AD30" s="10"/>
      <c r="AE30" s="10"/>
    </row>
    <row r="31" customFormat="false" ht="15" hidden="false" customHeight="false" outlineLevel="0" collapsed="false">
      <c r="A31" s="13" t="s">
        <v>113</v>
      </c>
      <c r="B31" s="14" t="s">
        <v>39</v>
      </c>
      <c r="C31" s="14" t="s">
        <v>62</v>
      </c>
      <c r="D31" s="14" t="s">
        <v>48</v>
      </c>
      <c r="E31" s="8" t="s">
        <v>114</v>
      </c>
      <c r="F31" s="8" t="s">
        <v>43</v>
      </c>
      <c r="G31" s="9" t="n">
        <f aca="false">COUNTIF(H31:AE31,"X")+COUNTIF(H31:AE31,"MV")</f>
        <v>10</v>
      </c>
      <c r="H31" s="10"/>
      <c r="I31" s="10"/>
      <c r="J31" s="10"/>
      <c r="K31" s="11" t="s">
        <v>2</v>
      </c>
      <c r="L31" s="10"/>
      <c r="M31" s="10"/>
      <c r="N31" s="10"/>
      <c r="O31" s="12" t="s">
        <v>44</v>
      </c>
      <c r="P31" s="10"/>
      <c r="Q31" s="10"/>
      <c r="R31" s="10"/>
      <c r="S31" s="12" t="s">
        <v>44</v>
      </c>
      <c r="T31" s="10"/>
      <c r="U31" s="10"/>
      <c r="V31" s="12" t="s">
        <v>44</v>
      </c>
      <c r="W31" s="10"/>
      <c r="X31" s="10"/>
      <c r="Y31" s="12" t="s">
        <v>44</v>
      </c>
      <c r="Z31" s="10"/>
      <c r="AA31" s="12" t="s">
        <v>44</v>
      </c>
      <c r="AB31" s="12" t="s">
        <v>44</v>
      </c>
      <c r="AC31" s="12" t="s">
        <v>44</v>
      </c>
      <c r="AD31" s="12" t="s">
        <v>44</v>
      </c>
      <c r="AE31" s="12" t="s">
        <v>44</v>
      </c>
    </row>
    <row r="32" customFormat="false" ht="15" hidden="false" customHeight="false" outlineLevel="0" collapsed="false">
      <c r="A32" s="13" t="s">
        <v>113</v>
      </c>
      <c r="B32" s="14" t="s">
        <v>39</v>
      </c>
      <c r="C32" s="14" t="s">
        <v>115</v>
      </c>
      <c r="D32" s="14" t="s">
        <v>48</v>
      </c>
      <c r="E32" s="8" t="s">
        <v>66</v>
      </c>
      <c r="F32" s="8" t="s">
        <v>43</v>
      </c>
      <c r="G32" s="9" t="n">
        <f aca="false">COUNTIF(H32:AE32,"X")+COUNTIF(H32:AE32,"MV")</f>
        <v>10</v>
      </c>
      <c r="H32" s="10"/>
      <c r="I32" s="10"/>
      <c r="J32" s="10"/>
      <c r="K32" s="11" t="s">
        <v>2</v>
      </c>
      <c r="L32" s="10"/>
      <c r="M32" s="10"/>
      <c r="N32" s="10"/>
      <c r="O32" s="12" t="s">
        <v>44</v>
      </c>
      <c r="P32" s="10"/>
      <c r="Q32" s="10"/>
      <c r="R32" s="10"/>
      <c r="S32" s="12" t="s">
        <v>44</v>
      </c>
      <c r="T32" s="10"/>
      <c r="U32" s="10"/>
      <c r="V32" s="12" t="s">
        <v>44</v>
      </c>
      <c r="W32" s="10"/>
      <c r="X32" s="10"/>
      <c r="Y32" s="12" t="s">
        <v>44</v>
      </c>
      <c r="Z32" s="10"/>
      <c r="AA32" s="12" t="s">
        <v>44</v>
      </c>
      <c r="AB32" s="12" t="s">
        <v>44</v>
      </c>
      <c r="AC32" s="12" t="s">
        <v>44</v>
      </c>
      <c r="AD32" s="12" t="s">
        <v>44</v>
      </c>
      <c r="AE32" s="12" t="s">
        <v>44</v>
      </c>
    </row>
    <row r="33" customFormat="false" ht="15" hidden="false" customHeight="false" outlineLevel="0" collapsed="false">
      <c r="A33" s="6" t="s">
        <v>116</v>
      </c>
      <c r="B33" s="7" t="s">
        <v>39</v>
      </c>
      <c r="C33" s="7" t="s">
        <v>58</v>
      </c>
      <c r="D33" s="7" t="s">
        <v>41</v>
      </c>
      <c r="E33" s="8" t="s">
        <v>117</v>
      </c>
      <c r="F33" s="8" t="s">
        <v>118</v>
      </c>
      <c r="G33" s="9" t="n">
        <f aca="false">COUNTIF(H33:AE33,"X")+COUNTIF(H33:AE33,"MV")</f>
        <v>11</v>
      </c>
      <c r="H33" s="11" t="s">
        <v>2</v>
      </c>
      <c r="I33" s="10"/>
      <c r="J33" s="10"/>
      <c r="K33" s="10"/>
      <c r="L33" s="12" t="s">
        <v>44</v>
      </c>
      <c r="M33" s="12" t="s">
        <v>44</v>
      </c>
      <c r="N33" s="10"/>
      <c r="O33" s="12" t="s">
        <v>44</v>
      </c>
      <c r="P33" s="10"/>
      <c r="Q33" s="12" t="s">
        <v>44</v>
      </c>
      <c r="R33" s="12" t="s">
        <v>44</v>
      </c>
      <c r="S33" s="12" t="s">
        <v>44</v>
      </c>
      <c r="T33" s="12" t="s">
        <v>44</v>
      </c>
      <c r="U33" s="12" t="s">
        <v>44</v>
      </c>
      <c r="V33" s="10"/>
      <c r="W33" s="10"/>
      <c r="X33" s="12" t="s">
        <v>44</v>
      </c>
      <c r="Y33" s="10"/>
      <c r="Z33" s="12" t="s">
        <v>44</v>
      </c>
      <c r="AA33" s="10"/>
      <c r="AB33" s="10"/>
      <c r="AC33" s="10"/>
      <c r="AD33" s="10"/>
      <c r="AE33" s="10"/>
    </row>
    <row r="34" customFormat="false" ht="15" hidden="false" customHeight="false" outlineLevel="0" collapsed="false">
      <c r="A34" s="6" t="s">
        <v>119</v>
      </c>
      <c r="B34" s="7" t="s">
        <v>46</v>
      </c>
      <c r="C34" s="7" t="s">
        <v>102</v>
      </c>
      <c r="D34" s="7" t="s">
        <v>41</v>
      </c>
      <c r="E34" s="8" t="s">
        <v>120</v>
      </c>
      <c r="F34" s="8" t="s">
        <v>43</v>
      </c>
      <c r="G34" s="9" t="n">
        <f aca="false">COUNTIF(H34:AE34,"X")+COUNTIF(H34:AE34,"MV")</f>
        <v>11</v>
      </c>
      <c r="H34" s="10"/>
      <c r="I34" s="11" t="s">
        <v>2</v>
      </c>
      <c r="J34" s="10"/>
      <c r="K34" s="10"/>
      <c r="L34" s="12" t="s">
        <v>44</v>
      </c>
      <c r="M34" s="12" t="s">
        <v>44</v>
      </c>
      <c r="N34" s="12" t="s">
        <v>44</v>
      </c>
      <c r="O34" s="12" t="s">
        <v>44</v>
      </c>
      <c r="P34" s="12" t="s">
        <v>44</v>
      </c>
      <c r="Q34" s="12" t="s">
        <v>44</v>
      </c>
      <c r="R34" s="10"/>
      <c r="S34" s="12" t="s">
        <v>44</v>
      </c>
      <c r="T34" s="12" t="s">
        <v>44</v>
      </c>
      <c r="U34" s="12" t="s">
        <v>44</v>
      </c>
      <c r="V34" s="10"/>
      <c r="W34" s="10"/>
      <c r="X34" s="12" t="s">
        <v>44</v>
      </c>
      <c r="Y34" s="10"/>
      <c r="Z34" s="10"/>
      <c r="AA34" s="10"/>
      <c r="AB34" s="10"/>
      <c r="AC34" s="10"/>
      <c r="AD34" s="10"/>
      <c r="AE34" s="10"/>
    </row>
    <row r="35" customFormat="false" ht="15" hidden="false" customHeight="false" outlineLevel="0" collapsed="false">
      <c r="A35" s="13" t="s">
        <v>121</v>
      </c>
      <c r="B35" s="14" t="s">
        <v>39</v>
      </c>
      <c r="C35" s="14" t="s">
        <v>122</v>
      </c>
      <c r="D35" s="14" t="s">
        <v>48</v>
      </c>
      <c r="E35" s="8" t="s">
        <v>123</v>
      </c>
      <c r="F35" s="8" t="s">
        <v>124</v>
      </c>
      <c r="G35" s="9" t="n">
        <f aca="false">COUNTIF(H35:AE35,"X")+COUNTIF(H35:AE35,"MV")</f>
        <v>10</v>
      </c>
      <c r="H35" s="10"/>
      <c r="I35" s="10"/>
      <c r="J35" s="10"/>
      <c r="K35" s="11" t="s">
        <v>2</v>
      </c>
      <c r="L35" s="10"/>
      <c r="M35" s="10"/>
      <c r="N35" s="12" t="s">
        <v>44</v>
      </c>
      <c r="O35" s="12" t="s">
        <v>44</v>
      </c>
      <c r="P35" s="10"/>
      <c r="Q35" s="12" t="s">
        <v>44</v>
      </c>
      <c r="R35" s="10"/>
      <c r="S35" s="10"/>
      <c r="T35" s="12" t="s">
        <v>44</v>
      </c>
      <c r="U35" s="10"/>
      <c r="V35" s="10"/>
      <c r="W35" s="10"/>
      <c r="X35" s="12" t="s">
        <v>44</v>
      </c>
      <c r="Y35" s="12" t="s">
        <v>44</v>
      </c>
      <c r="Z35" s="10"/>
      <c r="AA35" s="10"/>
      <c r="AB35" s="10"/>
      <c r="AC35" s="12" t="s">
        <v>44</v>
      </c>
      <c r="AD35" s="12" t="s">
        <v>44</v>
      </c>
      <c r="AE35" s="12" t="s">
        <v>44</v>
      </c>
    </row>
    <row r="36" customFormat="false" ht="15" hidden="false" customHeight="false" outlineLevel="0" collapsed="false">
      <c r="A36" s="13" t="s">
        <v>121</v>
      </c>
      <c r="B36" s="14" t="s">
        <v>39</v>
      </c>
      <c r="C36" s="14" t="s">
        <v>125</v>
      </c>
      <c r="D36" s="14" t="s">
        <v>48</v>
      </c>
      <c r="E36" s="8" t="s">
        <v>89</v>
      </c>
      <c r="F36" s="8" t="s">
        <v>124</v>
      </c>
      <c r="G36" s="9" t="n">
        <f aca="false">COUNTIF(H36:AE36,"X")+COUNTIF(H36:AE36,"MV")</f>
        <v>10</v>
      </c>
      <c r="H36" s="10"/>
      <c r="I36" s="10"/>
      <c r="J36" s="10"/>
      <c r="K36" s="11" t="s">
        <v>2</v>
      </c>
      <c r="L36" s="10"/>
      <c r="M36" s="10"/>
      <c r="N36" s="12" t="s">
        <v>44</v>
      </c>
      <c r="O36" s="12" t="s">
        <v>44</v>
      </c>
      <c r="P36" s="10"/>
      <c r="Q36" s="12" t="s">
        <v>44</v>
      </c>
      <c r="R36" s="10"/>
      <c r="S36" s="10"/>
      <c r="T36" s="12" t="s">
        <v>44</v>
      </c>
      <c r="U36" s="10"/>
      <c r="V36" s="10"/>
      <c r="W36" s="10"/>
      <c r="X36" s="12" t="s">
        <v>44</v>
      </c>
      <c r="Y36" s="12" t="s">
        <v>44</v>
      </c>
      <c r="Z36" s="10"/>
      <c r="AA36" s="10"/>
      <c r="AB36" s="10"/>
      <c r="AC36" s="12" t="s">
        <v>44</v>
      </c>
      <c r="AD36" s="12" t="s">
        <v>44</v>
      </c>
      <c r="AE36" s="12" t="s">
        <v>44</v>
      </c>
    </row>
    <row r="37" customFormat="false" ht="15" hidden="false" customHeight="false" outlineLevel="0" collapsed="false">
      <c r="A37" s="6" t="s">
        <v>126</v>
      </c>
      <c r="B37" s="7" t="s">
        <v>39</v>
      </c>
      <c r="C37" s="7" t="s">
        <v>62</v>
      </c>
      <c r="D37" s="7" t="s">
        <v>41</v>
      </c>
      <c r="E37" s="8" t="s">
        <v>127</v>
      </c>
      <c r="F37" s="8" t="s">
        <v>43</v>
      </c>
      <c r="G37" s="9" t="n">
        <f aca="false">COUNTIF(H37:AE37,"X")+COUNTIF(H37:AE37,"MV")</f>
        <v>11</v>
      </c>
      <c r="H37" s="11" t="s">
        <v>2</v>
      </c>
      <c r="I37" s="10"/>
      <c r="J37" s="10"/>
      <c r="K37" s="10"/>
      <c r="L37" s="12" t="s">
        <v>44</v>
      </c>
      <c r="M37" s="12" t="s">
        <v>44</v>
      </c>
      <c r="N37" s="12" t="s">
        <v>44</v>
      </c>
      <c r="O37" s="12" t="s">
        <v>44</v>
      </c>
      <c r="P37" s="12" t="s">
        <v>44</v>
      </c>
      <c r="Q37" s="12" t="s">
        <v>44</v>
      </c>
      <c r="R37" s="12" t="s">
        <v>44</v>
      </c>
      <c r="S37" s="12" t="s">
        <v>44</v>
      </c>
      <c r="T37" s="12" t="s">
        <v>44</v>
      </c>
      <c r="U37" s="12" t="s">
        <v>44</v>
      </c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customFormat="false" ht="15" hidden="false" customHeight="false" outlineLevel="0" collapsed="false">
      <c r="A38" s="13" t="s">
        <v>128</v>
      </c>
      <c r="B38" s="14" t="s">
        <v>46</v>
      </c>
      <c r="C38" s="14" t="s">
        <v>62</v>
      </c>
      <c r="D38" s="14" t="s">
        <v>48</v>
      </c>
      <c r="E38" s="8" t="s">
        <v>63</v>
      </c>
      <c r="F38" s="8" t="s">
        <v>64</v>
      </c>
      <c r="G38" s="9" t="n">
        <f aca="false">COUNTIF(H38:AE38,"X")+COUNTIF(H38:AE38,"MV")</f>
        <v>10</v>
      </c>
      <c r="H38" s="10"/>
      <c r="I38" s="10"/>
      <c r="J38" s="11" t="s">
        <v>2</v>
      </c>
      <c r="K38" s="10"/>
      <c r="L38" s="10"/>
      <c r="M38" s="10"/>
      <c r="N38" s="10"/>
      <c r="O38" s="12" t="s">
        <v>44</v>
      </c>
      <c r="P38" s="10"/>
      <c r="Q38" s="10"/>
      <c r="R38" s="10"/>
      <c r="S38" s="10"/>
      <c r="T38" s="10"/>
      <c r="U38" s="12" t="s">
        <v>44</v>
      </c>
      <c r="V38" s="10"/>
      <c r="W38" s="12" t="s">
        <v>44</v>
      </c>
      <c r="X38" s="12" t="s">
        <v>44</v>
      </c>
      <c r="Y38" s="10"/>
      <c r="Z38" s="12" t="s">
        <v>44</v>
      </c>
      <c r="AA38" s="12" t="s">
        <v>44</v>
      </c>
      <c r="AB38" s="12" t="s">
        <v>44</v>
      </c>
      <c r="AC38" s="12" t="s">
        <v>44</v>
      </c>
      <c r="AD38" s="10"/>
      <c r="AE38" s="12" t="s">
        <v>44</v>
      </c>
    </row>
    <row r="39" customFormat="false" ht="15" hidden="false" customHeight="false" outlineLevel="0" collapsed="false">
      <c r="A39" s="13" t="s">
        <v>128</v>
      </c>
      <c r="B39" s="14" t="s">
        <v>46</v>
      </c>
      <c r="C39" s="14" t="s">
        <v>65</v>
      </c>
      <c r="D39" s="14" t="s">
        <v>48</v>
      </c>
      <c r="E39" s="8" t="s">
        <v>66</v>
      </c>
      <c r="F39" s="8" t="s">
        <v>64</v>
      </c>
      <c r="G39" s="9" t="n">
        <f aca="false">COUNTIF(H39:AE39,"X")+COUNTIF(H39:AE39,"MV")</f>
        <v>10</v>
      </c>
      <c r="H39" s="10"/>
      <c r="I39" s="10"/>
      <c r="J39" s="11" t="s">
        <v>2</v>
      </c>
      <c r="K39" s="10"/>
      <c r="L39" s="10"/>
      <c r="M39" s="10"/>
      <c r="N39" s="10"/>
      <c r="O39" s="12" t="s">
        <v>44</v>
      </c>
      <c r="P39" s="10"/>
      <c r="Q39" s="10"/>
      <c r="R39" s="10"/>
      <c r="S39" s="10"/>
      <c r="T39" s="10"/>
      <c r="U39" s="12" t="s">
        <v>44</v>
      </c>
      <c r="V39" s="10"/>
      <c r="W39" s="12" t="s">
        <v>44</v>
      </c>
      <c r="X39" s="12" t="s">
        <v>44</v>
      </c>
      <c r="Y39" s="10"/>
      <c r="Z39" s="12" t="s">
        <v>44</v>
      </c>
      <c r="AA39" s="12" t="s">
        <v>44</v>
      </c>
      <c r="AB39" s="12" t="s">
        <v>44</v>
      </c>
      <c r="AC39" s="12" t="s">
        <v>44</v>
      </c>
      <c r="AD39" s="10"/>
      <c r="AE39" s="12" t="s">
        <v>44</v>
      </c>
    </row>
    <row r="40" customFormat="false" ht="15" hidden="false" customHeight="false" outlineLevel="0" collapsed="false">
      <c r="A40" s="6" t="s">
        <v>129</v>
      </c>
      <c r="B40" s="7" t="s">
        <v>39</v>
      </c>
      <c r="C40" s="7" t="s">
        <v>85</v>
      </c>
      <c r="D40" s="7" t="s">
        <v>41</v>
      </c>
      <c r="E40" s="8" t="s">
        <v>130</v>
      </c>
      <c r="F40" s="8" t="s">
        <v>131</v>
      </c>
      <c r="G40" s="9" t="n">
        <f aca="false">COUNTIF(H40:AE40,"X")+COUNTIF(H40:AE40,"MV")</f>
        <v>11</v>
      </c>
      <c r="H40" s="10"/>
      <c r="I40" s="11" t="s">
        <v>2</v>
      </c>
      <c r="J40" s="10"/>
      <c r="K40" s="10"/>
      <c r="L40" s="12" t="s">
        <v>44</v>
      </c>
      <c r="M40" s="12" t="s">
        <v>44</v>
      </c>
      <c r="N40" s="12" t="s">
        <v>44</v>
      </c>
      <c r="O40" s="10"/>
      <c r="P40" s="12" t="s">
        <v>44</v>
      </c>
      <c r="Q40" s="10"/>
      <c r="R40" s="12" t="s">
        <v>44</v>
      </c>
      <c r="S40" s="12" t="s">
        <v>44</v>
      </c>
      <c r="T40" s="12" t="s">
        <v>44</v>
      </c>
      <c r="U40" s="12" t="s">
        <v>44</v>
      </c>
      <c r="V40" s="12" t="s">
        <v>44</v>
      </c>
      <c r="W40" s="10"/>
      <c r="X40" s="10"/>
      <c r="Y40" s="10"/>
      <c r="Z40" s="12" t="s">
        <v>44</v>
      </c>
      <c r="AA40" s="10"/>
      <c r="AB40" s="10"/>
      <c r="AC40" s="10"/>
      <c r="AD40" s="10"/>
      <c r="AE40" s="10"/>
    </row>
    <row r="41" customFormat="false" ht="15" hidden="false" customHeight="false" outlineLevel="0" collapsed="false">
      <c r="A41" s="6" t="s">
        <v>132</v>
      </c>
      <c r="B41" s="7" t="s">
        <v>39</v>
      </c>
      <c r="C41" s="7" t="s">
        <v>102</v>
      </c>
      <c r="D41" s="7" t="s">
        <v>41</v>
      </c>
      <c r="E41" s="8" t="s">
        <v>133</v>
      </c>
      <c r="F41" s="8" t="s">
        <v>60</v>
      </c>
      <c r="G41" s="9" t="n">
        <f aca="false">COUNTIF(H41:AE41,"X")+COUNTIF(H41:AE41,"MV")</f>
        <v>11</v>
      </c>
      <c r="H41" s="11" t="s">
        <v>2</v>
      </c>
      <c r="I41" s="10"/>
      <c r="J41" s="10"/>
      <c r="K41" s="10"/>
      <c r="L41" s="12" t="s">
        <v>44</v>
      </c>
      <c r="M41" s="12" t="s">
        <v>44</v>
      </c>
      <c r="N41" s="12" t="s">
        <v>44</v>
      </c>
      <c r="O41" s="12" t="s">
        <v>44</v>
      </c>
      <c r="P41" s="12" t="s">
        <v>44</v>
      </c>
      <c r="Q41" s="12" t="s">
        <v>44</v>
      </c>
      <c r="R41" s="10"/>
      <c r="S41" s="12" t="s">
        <v>44</v>
      </c>
      <c r="T41" s="10"/>
      <c r="U41" s="12" t="s">
        <v>44</v>
      </c>
      <c r="V41" s="12" t="s">
        <v>44</v>
      </c>
      <c r="W41" s="10"/>
      <c r="X41" s="10"/>
      <c r="Y41" s="10"/>
      <c r="Z41" s="12" t="s">
        <v>44</v>
      </c>
      <c r="AA41" s="10"/>
      <c r="AB41" s="10"/>
      <c r="AC41" s="10"/>
      <c r="AD41" s="10"/>
      <c r="AE41" s="10"/>
    </row>
    <row r="42" customFormat="false" ht="15" hidden="false" customHeight="false" outlineLevel="0" collapsed="false">
      <c r="A42" s="13" t="s">
        <v>132</v>
      </c>
      <c r="B42" s="14" t="s">
        <v>39</v>
      </c>
      <c r="C42" s="14" t="s">
        <v>92</v>
      </c>
      <c r="D42" s="14" t="s">
        <v>48</v>
      </c>
      <c r="E42" s="8" t="s">
        <v>73</v>
      </c>
      <c r="F42" s="8" t="s">
        <v>60</v>
      </c>
      <c r="G42" s="9" t="n">
        <f aca="false">COUNTIF(H42:AE42,"X")+COUNTIF(H42:AE42,"MV")</f>
        <v>10</v>
      </c>
      <c r="H42" s="10"/>
      <c r="I42" s="10"/>
      <c r="J42" s="11" t="s">
        <v>2</v>
      </c>
      <c r="K42" s="10"/>
      <c r="L42" s="10"/>
      <c r="M42" s="10"/>
      <c r="N42" s="10"/>
      <c r="O42" s="10"/>
      <c r="P42" s="10"/>
      <c r="Q42" s="10"/>
      <c r="R42" s="12" t="s">
        <v>44</v>
      </c>
      <c r="S42" s="10"/>
      <c r="T42" s="12" t="s">
        <v>44</v>
      </c>
      <c r="U42" s="10"/>
      <c r="V42" s="10"/>
      <c r="W42" s="12" t="s">
        <v>44</v>
      </c>
      <c r="X42" s="12" t="s">
        <v>44</v>
      </c>
      <c r="Y42" s="12" t="s">
        <v>44</v>
      </c>
      <c r="Z42" s="10"/>
      <c r="AA42" s="12" t="s">
        <v>44</v>
      </c>
      <c r="AB42" s="12" t="s">
        <v>44</v>
      </c>
      <c r="AC42" s="10"/>
      <c r="AD42" s="12" t="s">
        <v>44</v>
      </c>
      <c r="AE42" s="12" t="s">
        <v>44</v>
      </c>
    </row>
    <row r="43" customFormat="false" ht="15" hidden="false" customHeight="false" outlineLevel="0" collapsed="false">
      <c r="A43" s="13" t="s">
        <v>134</v>
      </c>
      <c r="B43" s="14" t="s">
        <v>39</v>
      </c>
      <c r="C43" s="14" t="s">
        <v>135</v>
      </c>
      <c r="D43" s="14" t="s">
        <v>48</v>
      </c>
      <c r="E43" s="8" t="s">
        <v>52</v>
      </c>
      <c r="F43" s="8" t="s">
        <v>82</v>
      </c>
      <c r="G43" s="9" t="n">
        <f aca="false">COUNTIF(H43:AE43,"X")+COUNTIF(H43:AE43,"MV")</f>
        <v>10</v>
      </c>
      <c r="H43" s="10"/>
      <c r="I43" s="10"/>
      <c r="J43" s="11" t="s">
        <v>2</v>
      </c>
      <c r="K43" s="10"/>
      <c r="L43" s="10"/>
      <c r="M43" s="10"/>
      <c r="N43" s="10"/>
      <c r="O43" s="10"/>
      <c r="P43" s="10"/>
      <c r="Q43" s="10"/>
      <c r="R43" s="12" t="s">
        <v>44</v>
      </c>
      <c r="S43" s="10"/>
      <c r="T43" s="10"/>
      <c r="U43" s="10"/>
      <c r="V43" s="12" t="s">
        <v>44</v>
      </c>
      <c r="W43" s="12" t="s">
        <v>44</v>
      </c>
      <c r="X43" s="10"/>
      <c r="Y43" s="10"/>
      <c r="Z43" s="12" t="s">
        <v>44</v>
      </c>
      <c r="AA43" s="12" t="s">
        <v>44</v>
      </c>
      <c r="AB43" s="12" t="s">
        <v>44</v>
      </c>
      <c r="AC43" s="12" t="s">
        <v>44</v>
      </c>
      <c r="AD43" s="12" t="s">
        <v>44</v>
      </c>
      <c r="AE43" s="12" t="s">
        <v>44</v>
      </c>
    </row>
    <row r="44" customFormat="false" ht="15" hidden="false" customHeight="false" outlineLevel="0" collapsed="false">
      <c r="A44" s="13" t="s">
        <v>134</v>
      </c>
      <c r="B44" s="14" t="s">
        <v>39</v>
      </c>
      <c r="C44" s="14" t="s">
        <v>136</v>
      </c>
      <c r="D44" s="14" t="s">
        <v>48</v>
      </c>
      <c r="E44" s="8" t="s">
        <v>49</v>
      </c>
      <c r="F44" s="8" t="s">
        <v>82</v>
      </c>
      <c r="G44" s="9" t="n">
        <f aca="false">COUNTIF(H44:AE44,"X")+COUNTIF(H44:AE44,"MV")</f>
        <v>10</v>
      </c>
      <c r="H44" s="10"/>
      <c r="I44" s="10"/>
      <c r="J44" s="11" t="s">
        <v>2</v>
      </c>
      <c r="K44" s="10"/>
      <c r="L44" s="10"/>
      <c r="M44" s="10"/>
      <c r="N44" s="10"/>
      <c r="O44" s="10"/>
      <c r="P44" s="10"/>
      <c r="Q44" s="10"/>
      <c r="R44" s="12" t="s">
        <v>44</v>
      </c>
      <c r="S44" s="10"/>
      <c r="T44" s="10"/>
      <c r="U44" s="10"/>
      <c r="V44" s="12" t="s">
        <v>44</v>
      </c>
      <c r="W44" s="12" t="s">
        <v>44</v>
      </c>
      <c r="X44" s="10"/>
      <c r="Y44" s="10"/>
      <c r="Z44" s="12" t="s">
        <v>44</v>
      </c>
      <c r="AA44" s="12" t="s">
        <v>44</v>
      </c>
      <c r="AB44" s="12" t="s">
        <v>44</v>
      </c>
      <c r="AC44" s="12" t="s">
        <v>44</v>
      </c>
      <c r="AD44" s="12" t="s">
        <v>44</v>
      </c>
      <c r="AE44" s="12" t="s">
        <v>44</v>
      </c>
    </row>
    <row r="45" customFormat="false" ht="15" hidden="false" customHeight="false" outlineLevel="0" collapsed="false">
      <c r="A45" s="6" t="s">
        <v>134</v>
      </c>
      <c r="B45" s="7" t="s">
        <v>39</v>
      </c>
      <c r="C45" s="7" t="s">
        <v>137</v>
      </c>
      <c r="D45" s="7" t="s">
        <v>41</v>
      </c>
      <c r="E45" s="8" t="s">
        <v>138</v>
      </c>
      <c r="F45" s="8" t="s">
        <v>139</v>
      </c>
      <c r="G45" s="9" t="n">
        <f aca="false">COUNTIF(H45:AE45,"X")+COUNTIF(H45:AE45,"MV")</f>
        <v>11</v>
      </c>
      <c r="H45" s="11" t="s">
        <v>2</v>
      </c>
      <c r="I45" s="10"/>
      <c r="J45" s="10"/>
      <c r="K45" s="10"/>
      <c r="L45" s="12" t="s">
        <v>44</v>
      </c>
      <c r="M45" s="12" t="s">
        <v>44</v>
      </c>
      <c r="N45" s="12" t="s">
        <v>44</v>
      </c>
      <c r="O45" s="12" t="s">
        <v>44</v>
      </c>
      <c r="P45" s="12" t="s">
        <v>44</v>
      </c>
      <c r="Q45" s="12" t="s">
        <v>44</v>
      </c>
      <c r="R45" s="10"/>
      <c r="S45" s="12" t="s">
        <v>44</v>
      </c>
      <c r="T45" s="12" t="s">
        <v>44</v>
      </c>
      <c r="U45" s="12" t="s">
        <v>44</v>
      </c>
      <c r="V45" s="10"/>
      <c r="W45" s="10"/>
      <c r="X45" s="10"/>
      <c r="Y45" s="12" t="s">
        <v>44</v>
      </c>
      <c r="Z45" s="10"/>
      <c r="AA45" s="10"/>
      <c r="AB45" s="10"/>
      <c r="AC45" s="10"/>
      <c r="AD45" s="10"/>
      <c r="AE45" s="10"/>
    </row>
    <row r="46" customFormat="false" ht="15" hidden="false" customHeight="false" outlineLevel="0" collapsed="false">
      <c r="G46" s="15" t="s">
        <v>140</v>
      </c>
      <c r="H46" s="12" t="n">
        <f aca="false">COUNTIFS($D$7:$D$45,"Svår",H$7:H$45,"X")+COUNTIFS($D$7:$D$45,"Svår",H$7:H$45,"MV")</f>
        <v>10</v>
      </c>
      <c r="I46" s="12" t="n">
        <f aca="false">COUNTIFS($D$7:$D$45,"Svår",I$7:I$45,"X")+COUNTIFS($D$7:$D$45,"Svår",I$7:I$45,"MV")</f>
        <v>8</v>
      </c>
      <c r="J46" s="12" t="n">
        <f aca="false">COUNTIFS($D$7:$D$45,"Svår",J$7:J$45,"X")+COUNTIFS($D$7:$D$45,"Svår",J$7:J$45,"MV")</f>
        <v>0</v>
      </c>
      <c r="K46" s="12" t="n">
        <f aca="false">COUNTIFS($D$7:$D$45,"Svår",K$7:K$45,"X")+COUNTIFS($D$7:$D$45,"Svår",K$7:K$45,"MV")</f>
        <v>0</v>
      </c>
      <c r="L46" s="12" t="n">
        <f aca="false">COUNTIFS($D$7:$D$45,"Svår",L$7:L$45,"X")+COUNTIFS($D$7:$D$45,"Svår",L$7:L$45,"MV")</f>
        <v>18</v>
      </c>
      <c r="M46" s="12" t="n">
        <f aca="false">COUNTIFS($D$7:$D$45,"Svår",M$7:M$45,"X")+COUNTIFS($D$7:$D$45,"Svår",M$7:M$45,"MV")</f>
        <v>18</v>
      </c>
      <c r="N46" s="12" t="n">
        <f aca="false">COUNTIFS($D$7:$D$45,"Svår",N$7:N$45,"X")+COUNTIFS($D$7:$D$45,"Svår",N$7:N$45,"MV")</f>
        <v>17</v>
      </c>
      <c r="O46" s="12" t="n">
        <f aca="false">COUNTIFS($D$7:$D$45,"Svår",O$7:O$45,"X")+COUNTIFS($D$7:$D$45,"Svår",O$7:O$45,"MV")</f>
        <v>12</v>
      </c>
      <c r="P46" s="12" t="n">
        <f aca="false">COUNTIFS($D$7:$D$45,"Svår",P$7:P$45,"X")+COUNTIFS($D$7:$D$45,"Svår",P$7:P$45,"MV")</f>
        <v>17</v>
      </c>
      <c r="Q46" s="12" t="n">
        <f aca="false">COUNTIFS($D$7:$D$45,"Svår",Q$7:Q$45,"X")+COUNTIFS($D$7:$D$45,"Svår",Q$7:Q$45,"MV")</f>
        <v>17</v>
      </c>
      <c r="R46" s="12" t="n">
        <f aca="false">COUNTIFS($D$7:$D$45,"Svår",R$7:R$45,"X")+COUNTIFS($D$7:$D$45,"Svår",R$7:R$45,"MV")</f>
        <v>11</v>
      </c>
      <c r="S46" s="12" t="n">
        <f aca="false">COUNTIFS($D$7:$D$45,"Svår",S$7:S$45,"X")+COUNTIFS($D$7:$D$45,"Svår",S$7:S$45,"MV")</f>
        <v>18</v>
      </c>
      <c r="T46" s="12" t="n">
        <f aca="false">COUNTIFS($D$7:$D$45,"Svår",T$7:T$45,"X")+COUNTIFS($D$7:$D$45,"Svår",T$7:T$45,"MV")</f>
        <v>15</v>
      </c>
      <c r="U46" s="12" t="n">
        <f aca="false">COUNTIFS($D$7:$D$45,"Svår",U$7:U$45,"X")+COUNTIFS($D$7:$D$45,"Svår",U$7:U$45,"MV")</f>
        <v>12</v>
      </c>
      <c r="V46" s="12" t="n">
        <f aca="false">COUNTIFS($D$7:$D$45,"Svår",V$7:V$45,"X")+COUNTIFS($D$7:$D$45,"Svår",V$7:V$45,"MV")</f>
        <v>5</v>
      </c>
      <c r="W46" s="12" t="n">
        <f aca="false">COUNTIFS($D$7:$D$45,"Svår",W$7:W$45,"X")+COUNTIFS($D$7:$D$45,"Svår",W$7:W$45,"MV")</f>
        <v>5</v>
      </c>
      <c r="X46" s="12" t="n">
        <f aca="false">COUNTIFS($D$7:$D$45,"Svår",X$7:X$45,"X")+COUNTIFS($D$7:$D$45,"Svår",X$7:X$45,"MV")</f>
        <v>5</v>
      </c>
      <c r="Y46" s="12" t="n">
        <f aca="false">COUNTIFS($D$7:$D$45,"Svår",Y$7:Y$45,"X")+COUNTIFS($D$7:$D$45,"Svår",Y$7:Y$45,"MV")</f>
        <v>5</v>
      </c>
      <c r="Z46" s="12" t="n">
        <f aca="false">COUNTIFS($D$7:$D$45,"Svår",Z$7:Z$45,"X")+COUNTIFS($D$7:$D$45,"Svår",Z$7:Z$45,"MV")</f>
        <v>5</v>
      </c>
      <c r="AA46" s="12" t="n">
        <f aca="false">COUNTIFS($D$7:$D$45,"Svår",AA$7:AA$45,"X")+COUNTIFS($D$7:$D$45,"Svår",AA$7:AA$45,"MV")</f>
        <v>0</v>
      </c>
      <c r="AB46" s="12" t="n">
        <f aca="false">COUNTIFS($D$7:$D$45,"Svår",AB$7:AB$45,"X")+COUNTIFS($D$7:$D$45,"Svår",AB$7:AB$45,"MV")</f>
        <v>0</v>
      </c>
      <c r="AC46" s="12" t="n">
        <f aca="false">COUNTIFS($D$7:$D$45,"Svår",AC$7:AC$45,"X")+COUNTIFS($D$7:$D$45,"Svår",AC$7:AC$45,"MV")</f>
        <v>0</v>
      </c>
      <c r="AD46" s="12" t="n">
        <f aca="false">COUNTIFS($D$7:$D$45,"Svår",AD$7:AD$45,"X")+COUNTIFS($D$7:$D$45,"Svår",AD$7:AD$45,"MV")</f>
        <v>0</v>
      </c>
      <c r="AE46" s="12" t="n">
        <f aca="false">COUNTIFS($D$7:$D$45,"Svår",AE$7:AE$45,"X")+COUNTIFS($D$7:$D$45,"Svår",AE$7:AE$45,"MV")</f>
        <v>0</v>
      </c>
    </row>
    <row r="47" customFormat="false" ht="15" hidden="false" customHeight="false" outlineLevel="0" collapsed="false">
      <c r="G47" s="15" t="s">
        <v>141</v>
      </c>
      <c r="H47" s="12" t="n">
        <f aca="false">COUNTIFS($D$7:$D$45,"Lätt",H$7:H$45,"X")+COUNTIFS($D$7:$D$45,"Lätt",H$7:H$45,"MV")</f>
        <v>0</v>
      </c>
      <c r="I47" s="12" t="n">
        <f aca="false">COUNTIFS($D$7:$D$45,"Lätt",I$7:I$45,"X")+COUNTIFS($D$7:$D$45,"Lätt",I$7:I$45,"MV")</f>
        <v>2</v>
      </c>
      <c r="J47" s="12" t="n">
        <f aca="false">COUNTIFS($D$7:$D$45,"Lätt",J$7:J$45,"X")+COUNTIFS($D$7:$D$45,"Lätt",J$7:J$45,"MV")</f>
        <v>10</v>
      </c>
      <c r="K47" s="12" t="n">
        <f aca="false">COUNTIFS($D$7:$D$45,"Lätt",K$7:K$45,"X")+COUNTIFS($D$7:$D$45,"Lätt",K$7:K$45,"MV")</f>
        <v>9</v>
      </c>
      <c r="L47" s="12" t="n">
        <f aca="false">COUNTIFS($D$7:$D$45,"Lätt",L$7:L$45,"X")+COUNTIFS($D$7:$D$45,"Lätt",L$7:L$45,"MV")</f>
        <v>0</v>
      </c>
      <c r="M47" s="12" t="n">
        <f aca="false">COUNTIFS($D$7:$D$45,"Lätt",M$7:M$45,"X")+COUNTIFS($D$7:$D$45,"Lätt",M$7:M$45,"MV")</f>
        <v>0</v>
      </c>
      <c r="N47" s="12" t="n">
        <f aca="false">COUNTIFS($D$7:$D$45,"Lätt",N$7:N$45,"X")+COUNTIFS($D$7:$D$45,"Lätt",N$7:N$45,"MV")</f>
        <v>3</v>
      </c>
      <c r="O47" s="12" t="n">
        <f aca="false">COUNTIFS($D$7:$D$45,"Lätt",O$7:O$45,"X")+COUNTIFS($D$7:$D$45,"Lätt",O$7:O$45,"MV")</f>
        <v>8</v>
      </c>
      <c r="P47" s="12" t="n">
        <f aca="false">COUNTIFS($D$7:$D$45,"Lätt",P$7:P$45,"X")+COUNTIFS($D$7:$D$45,"Lätt",P$7:P$45,"MV")</f>
        <v>3</v>
      </c>
      <c r="Q47" s="12" t="n">
        <f aca="false">COUNTIFS($D$7:$D$45,"Lätt",Q$7:Q$45,"X")+COUNTIFS($D$7:$D$45,"Lätt",Q$7:Q$45,"MV")</f>
        <v>2</v>
      </c>
      <c r="R47" s="12" t="n">
        <f aca="false">COUNTIFS($D$7:$D$45,"Lätt",R$7:R$45,"X")+COUNTIFS($D$7:$D$45,"Lätt",R$7:R$45,"MV")</f>
        <v>8</v>
      </c>
      <c r="S47" s="12" t="n">
        <f aca="false">COUNTIFS($D$7:$D$45,"Lätt",S$7:S$45,"X")+COUNTIFS($D$7:$D$45,"Lätt",S$7:S$45,"MV")</f>
        <v>2</v>
      </c>
      <c r="T47" s="12" t="n">
        <f aca="false">COUNTIFS($D$7:$D$45,"Lätt",T$7:T$45,"X")+COUNTIFS($D$7:$D$45,"Lätt",T$7:T$45,"MV")</f>
        <v>5</v>
      </c>
      <c r="U47" s="12" t="n">
        <f aca="false">COUNTIFS($D$7:$D$45,"Lätt",U$7:U$45,"X")+COUNTIFS($D$7:$D$45,"Lätt",U$7:U$45,"MV")</f>
        <v>7</v>
      </c>
      <c r="V47" s="12" t="n">
        <f aca="false">COUNTIFS($D$7:$D$45,"Lätt",V$7:V$45,"X")+COUNTIFS($D$7:$D$45,"Lätt",V$7:V$45,"MV")</f>
        <v>14</v>
      </c>
      <c r="W47" s="12" t="n">
        <f aca="false">COUNTIFS($D$7:$D$45,"Lätt",W$7:W$45,"X")+COUNTIFS($D$7:$D$45,"Lätt",W$7:W$45,"MV")</f>
        <v>13</v>
      </c>
      <c r="X47" s="12" t="n">
        <f aca="false">COUNTIFS($D$7:$D$45,"Lätt",X$7:X$45,"X")+COUNTIFS($D$7:$D$45,"Lätt",X$7:X$45,"MV")</f>
        <v>14</v>
      </c>
      <c r="Y47" s="12" t="n">
        <f aca="false">COUNTIFS($D$7:$D$45,"Lätt",Y$7:Y$45,"X")+COUNTIFS($D$7:$D$45,"Lätt",Y$7:Y$45,"MV")</f>
        <v>12</v>
      </c>
      <c r="Z47" s="12" t="n">
        <f aca="false">COUNTIFS($D$7:$D$45,"Lätt",Z$7:Z$45,"X")+COUNTIFS($D$7:$D$45,"Lätt",Z$7:Z$45,"MV")</f>
        <v>12</v>
      </c>
      <c r="AA47" s="12" t="n">
        <f aca="false">COUNTIFS($D$7:$D$45,"Lätt",AA$7:AA$45,"X")+COUNTIFS($D$7:$D$45,"Lätt",AA$7:AA$45,"MV")</f>
        <v>18</v>
      </c>
      <c r="AB47" s="12" t="n">
        <f aca="false">COUNTIFS($D$7:$D$45,"Lätt",AB$7:AB$45,"X")+COUNTIFS($D$7:$D$45,"Lätt",AB$7:AB$45,"MV")</f>
        <v>17</v>
      </c>
      <c r="AC47" s="12" t="n">
        <f aca="false">COUNTIFS($D$7:$D$45,"Lätt",AC$7:AC$45,"X")+COUNTIFS($D$7:$D$45,"Lätt",AC$7:AC$45,"MV")</f>
        <v>17</v>
      </c>
      <c r="AD47" s="12" t="n">
        <f aca="false">COUNTIFS($D$7:$D$45,"Lätt",AD$7:AD$45,"X")+COUNTIFS($D$7:$D$45,"Lätt",AD$7:AD$45,"MV")</f>
        <v>17</v>
      </c>
      <c r="AE47" s="12" t="n">
        <f aca="false">COUNTIFS($D$7:$D$45,"Lätt",AE$7:AE$45,"X")+COUNTIFS($D$7:$D$45,"Lätt",AE$7:AE$45,"MV")</f>
        <v>17</v>
      </c>
    </row>
    <row r="48" customFormat="false" ht="15" hidden="false" customHeight="false" outlineLevel="0" collapsed="false">
      <c r="G48" s="15" t="s">
        <v>142</v>
      </c>
      <c r="H48" s="16" t="n">
        <f aca="false">H46+H47</f>
        <v>10</v>
      </c>
      <c r="I48" s="16" t="n">
        <f aca="false">I46+I47</f>
        <v>10</v>
      </c>
      <c r="J48" s="16" t="n">
        <f aca="false">J46+J47</f>
        <v>10</v>
      </c>
      <c r="K48" s="16" t="n">
        <f aca="false">K46+K47</f>
        <v>9</v>
      </c>
      <c r="L48" s="16" t="n">
        <f aca="false">L46+L47</f>
        <v>18</v>
      </c>
      <c r="M48" s="16" t="n">
        <f aca="false">M46+M47</f>
        <v>18</v>
      </c>
      <c r="N48" s="16" t="n">
        <f aca="false">N46+N47</f>
        <v>20</v>
      </c>
      <c r="O48" s="16" t="n">
        <f aca="false">O46+O47</f>
        <v>20</v>
      </c>
      <c r="P48" s="16" t="n">
        <f aca="false">P46+P47</f>
        <v>20</v>
      </c>
      <c r="Q48" s="16" t="n">
        <f aca="false">Q46+Q47</f>
        <v>19</v>
      </c>
      <c r="R48" s="16" t="n">
        <f aca="false">R46+R47</f>
        <v>19</v>
      </c>
      <c r="S48" s="16" t="n">
        <f aca="false">S46+S47</f>
        <v>20</v>
      </c>
      <c r="T48" s="16" t="n">
        <f aca="false">T46+T47</f>
        <v>20</v>
      </c>
      <c r="U48" s="16" t="n">
        <f aca="false">U46+U47</f>
        <v>19</v>
      </c>
      <c r="V48" s="16" t="n">
        <f aca="false">V46+V47</f>
        <v>19</v>
      </c>
      <c r="W48" s="16" t="n">
        <f aca="false">W46+W47</f>
        <v>18</v>
      </c>
      <c r="X48" s="16" t="n">
        <f aca="false">X46+X47</f>
        <v>19</v>
      </c>
      <c r="Y48" s="16" t="n">
        <f aca="false">Y46+Y47</f>
        <v>17</v>
      </c>
      <c r="Z48" s="16" t="n">
        <f aca="false">Z46+Z47</f>
        <v>17</v>
      </c>
      <c r="AA48" s="16" t="n">
        <f aca="false">AA46+AA47</f>
        <v>18</v>
      </c>
      <c r="AB48" s="16" t="n">
        <f aca="false">AB46+AB47</f>
        <v>17</v>
      </c>
      <c r="AC48" s="16" t="n">
        <f aca="false">AC46+AC47</f>
        <v>17</v>
      </c>
      <c r="AD48" s="16" t="n">
        <f aca="false">AD46+AD47</f>
        <v>17</v>
      </c>
      <c r="AE48" s="16" t="n">
        <f aca="false">AE46+AE47</f>
        <v>17</v>
      </c>
    </row>
  </sheetData>
  <conditionalFormatting sqref="G7:G45">
    <cfRule type="cellIs" priority="2" operator="lessThan" aboveAverage="0" equalAverage="0" bottom="0" percent="0" rank="0" text="" dxfId="0">
      <formula>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27"/>
    <col collapsed="false" customWidth="true" hidden="false" outlineLevel="0" max="19" min="8" style="0" width="17"/>
  </cols>
  <sheetData>
    <row r="1" customFormat="false" ht="17.35" hidden="false" customHeight="false" outlineLevel="0" collapsed="false">
      <c r="A1" s="1" t="s">
        <v>143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9</v>
      </c>
      <c r="D3" s="4" t="s">
        <v>10</v>
      </c>
      <c r="E3" s="4" t="s">
        <v>144</v>
      </c>
      <c r="F3" s="4" t="s">
        <v>11</v>
      </c>
      <c r="G3" s="4" t="s">
        <v>12</v>
      </c>
      <c r="H3" s="4" t="s">
        <v>145</v>
      </c>
      <c r="I3" s="4" t="s">
        <v>146</v>
      </c>
      <c r="J3" s="4" t="s">
        <v>147</v>
      </c>
      <c r="K3" s="4" t="s">
        <v>148</v>
      </c>
      <c r="L3" s="4" t="s">
        <v>149</v>
      </c>
      <c r="M3" s="4" t="s">
        <v>150</v>
      </c>
      <c r="N3" s="4" t="s">
        <v>151</v>
      </c>
      <c r="O3" s="4" t="s">
        <v>152</v>
      </c>
      <c r="P3" s="4" t="s">
        <v>153</v>
      </c>
      <c r="Q3" s="4" t="s">
        <v>154</v>
      </c>
      <c r="R3" s="4" t="s">
        <v>155</v>
      </c>
      <c r="S3" s="4" t="s">
        <v>156</v>
      </c>
      <c r="T3" s="4" t="s">
        <v>13</v>
      </c>
    </row>
    <row r="4" customFormat="false" ht="15" hidden="false" customHeight="false" outlineLevel="0" collapsed="false">
      <c r="A4" s="8" t="s">
        <v>38</v>
      </c>
      <c r="B4" s="8" t="s">
        <v>39</v>
      </c>
      <c r="C4" s="8" t="s">
        <v>40</v>
      </c>
      <c r="D4" s="6" t="s">
        <v>41</v>
      </c>
      <c r="E4" s="8" t="s">
        <v>157</v>
      </c>
      <c r="F4" s="8" t="s">
        <v>42</v>
      </c>
      <c r="G4" s="8" t="s">
        <v>43</v>
      </c>
      <c r="H4" s="17" t="s">
        <v>15</v>
      </c>
      <c r="I4" s="8" t="s">
        <v>22</v>
      </c>
      <c r="J4" s="8" t="s">
        <v>23</v>
      </c>
      <c r="K4" s="8" t="s">
        <v>19</v>
      </c>
      <c r="L4" s="8" t="s">
        <v>28</v>
      </c>
      <c r="M4" s="8" t="s">
        <v>18</v>
      </c>
      <c r="N4" s="8" t="s">
        <v>21</v>
      </c>
      <c r="O4" s="8" t="s">
        <v>26</v>
      </c>
      <c r="P4" s="8" t="s">
        <v>29</v>
      </c>
      <c r="Q4" s="8" t="s">
        <v>20</v>
      </c>
      <c r="R4" s="8" t="s">
        <v>25</v>
      </c>
      <c r="S4" s="8"/>
      <c r="T4" s="8" t="n">
        <f aca="false">COUNTA(H4:S4)</f>
        <v>11</v>
      </c>
    </row>
    <row r="5" customFormat="false" ht="15" hidden="false" customHeight="false" outlineLevel="0" collapsed="false">
      <c r="A5" s="18" t="s">
        <v>45</v>
      </c>
      <c r="B5" s="18" t="s">
        <v>46</v>
      </c>
      <c r="C5" s="18" t="s">
        <v>47</v>
      </c>
      <c r="D5" s="13" t="s">
        <v>48</v>
      </c>
      <c r="E5" s="18" t="s">
        <v>158</v>
      </c>
      <c r="F5" s="18" t="s">
        <v>49</v>
      </c>
      <c r="G5" s="18" t="s">
        <v>50</v>
      </c>
      <c r="H5" s="17" t="s">
        <v>15</v>
      </c>
      <c r="I5" s="18" t="s">
        <v>32</v>
      </c>
      <c r="J5" s="18" t="s">
        <v>35</v>
      </c>
      <c r="K5" s="18" t="s">
        <v>36</v>
      </c>
      <c r="L5" s="18" t="s">
        <v>33</v>
      </c>
      <c r="M5" s="18" t="s">
        <v>37</v>
      </c>
      <c r="N5" s="18" t="s">
        <v>22</v>
      </c>
      <c r="O5" s="18" t="s">
        <v>28</v>
      </c>
      <c r="P5" s="18" t="s">
        <v>27</v>
      </c>
      <c r="Q5" s="18" t="s">
        <v>30</v>
      </c>
      <c r="R5" s="18"/>
      <c r="S5" s="18"/>
      <c r="T5" s="8" t="n">
        <f aca="false">COUNTA(H5:S5)</f>
        <v>10</v>
      </c>
    </row>
    <row r="6" customFormat="false" ht="15" hidden="false" customHeight="false" outlineLevel="0" collapsed="false">
      <c r="A6" s="8" t="s">
        <v>45</v>
      </c>
      <c r="B6" s="8" t="s">
        <v>46</v>
      </c>
      <c r="C6" s="8" t="s">
        <v>51</v>
      </c>
      <c r="D6" s="13" t="s">
        <v>48</v>
      </c>
      <c r="E6" s="8" t="s">
        <v>159</v>
      </c>
      <c r="F6" s="8" t="s">
        <v>52</v>
      </c>
      <c r="G6" s="8" t="s">
        <v>50</v>
      </c>
      <c r="H6" s="17" t="s">
        <v>15</v>
      </c>
      <c r="I6" s="8" t="s">
        <v>32</v>
      </c>
      <c r="J6" s="8" t="s">
        <v>35</v>
      </c>
      <c r="K6" s="8" t="s">
        <v>36</v>
      </c>
      <c r="L6" s="8" t="s">
        <v>33</v>
      </c>
      <c r="M6" s="8" t="s">
        <v>37</v>
      </c>
      <c r="N6" s="8" t="s">
        <v>22</v>
      </c>
      <c r="O6" s="8" t="s">
        <v>28</v>
      </c>
      <c r="P6" s="8" t="s">
        <v>27</v>
      </c>
      <c r="Q6" s="8" t="s">
        <v>30</v>
      </c>
      <c r="R6" s="8"/>
      <c r="S6" s="8"/>
      <c r="T6" s="8" t="n">
        <f aca="false">COUNTA(H6:S6)</f>
        <v>10</v>
      </c>
    </row>
    <row r="7" customFormat="false" ht="15" hidden="false" customHeight="false" outlineLevel="0" collapsed="false">
      <c r="A7" s="18" t="s">
        <v>53</v>
      </c>
      <c r="B7" s="18" t="s">
        <v>39</v>
      </c>
      <c r="C7" s="18" t="s">
        <v>54</v>
      </c>
      <c r="D7" s="6" t="s">
        <v>41</v>
      </c>
      <c r="E7" s="18" t="s">
        <v>160</v>
      </c>
      <c r="F7" s="18" t="s">
        <v>55</v>
      </c>
      <c r="G7" s="18" t="s">
        <v>56</v>
      </c>
      <c r="H7" s="17" t="s">
        <v>15</v>
      </c>
      <c r="I7" s="18" t="s">
        <v>22</v>
      </c>
      <c r="J7" s="18" t="s">
        <v>23</v>
      </c>
      <c r="K7" s="18" t="s">
        <v>19</v>
      </c>
      <c r="L7" s="18" t="s">
        <v>28</v>
      </c>
      <c r="M7" s="18" t="s">
        <v>18</v>
      </c>
      <c r="N7" s="18" t="s">
        <v>24</v>
      </c>
      <c r="O7" s="18" t="s">
        <v>26</v>
      </c>
      <c r="P7" s="18" t="s">
        <v>29</v>
      </c>
      <c r="Q7" s="18" t="s">
        <v>20</v>
      </c>
      <c r="R7" s="18" t="s">
        <v>25</v>
      </c>
      <c r="S7" s="18"/>
      <c r="T7" s="8" t="n">
        <f aca="false">COUNTA(H7:S7)</f>
        <v>11</v>
      </c>
    </row>
    <row r="8" customFormat="false" ht="15" hidden="false" customHeight="false" outlineLevel="0" collapsed="false">
      <c r="A8" s="8" t="s">
        <v>57</v>
      </c>
      <c r="B8" s="8" t="s">
        <v>46</v>
      </c>
      <c r="C8" s="8" t="s">
        <v>58</v>
      </c>
      <c r="D8" s="6" t="s">
        <v>41</v>
      </c>
      <c r="E8" s="8" t="s">
        <v>161</v>
      </c>
      <c r="F8" s="8" t="s">
        <v>59</v>
      </c>
      <c r="G8" s="8" t="s">
        <v>60</v>
      </c>
      <c r="H8" s="17" t="s">
        <v>14</v>
      </c>
      <c r="I8" s="8" t="s">
        <v>22</v>
      </c>
      <c r="J8" s="8" t="s">
        <v>23</v>
      </c>
      <c r="K8" s="8" t="s">
        <v>19</v>
      </c>
      <c r="L8" s="8" t="s">
        <v>18</v>
      </c>
      <c r="M8" s="8" t="s">
        <v>24</v>
      </c>
      <c r="N8" s="8" t="s">
        <v>21</v>
      </c>
      <c r="O8" s="8" t="s">
        <v>26</v>
      </c>
      <c r="P8" s="8" t="s">
        <v>20</v>
      </c>
      <c r="Q8" s="8" t="s">
        <v>30</v>
      </c>
      <c r="R8" s="8" t="s">
        <v>25</v>
      </c>
      <c r="S8" s="8"/>
      <c r="T8" s="8" t="n">
        <f aca="false">COUNTA(H8:S8)</f>
        <v>11</v>
      </c>
    </row>
    <row r="9" customFormat="false" ht="15" hidden="false" customHeight="false" outlineLevel="0" collapsed="false">
      <c r="A9" s="18" t="s">
        <v>61</v>
      </c>
      <c r="B9" s="18" t="s">
        <v>39</v>
      </c>
      <c r="C9" s="18" t="s">
        <v>62</v>
      </c>
      <c r="D9" s="13" t="s">
        <v>48</v>
      </c>
      <c r="E9" s="18" t="s">
        <v>162</v>
      </c>
      <c r="F9" s="18" t="s">
        <v>63</v>
      </c>
      <c r="G9" s="18" t="s">
        <v>64</v>
      </c>
      <c r="H9" s="17" t="s">
        <v>17</v>
      </c>
      <c r="I9" s="18" t="s">
        <v>32</v>
      </c>
      <c r="J9" s="18" t="s">
        <v>34</v>
      </c>
      <c r="K9" s="18" t="s">
        <v>31</v>
      </c>
      <c r="L9" s="18" t="s">
        <v>36</v>
      </c>
      <c r="M9" s="18" t="s">
        <v>33</v>
      </c>
      <c r="N9" s="18" t="s">
        <v>21</v>
      </c>
      <c r="O9" s="18" t="s">
        <v>26</v>
      </c>
      <c r="P9" s="18" t="s">
        <v>29</v>
      </c>
      <c r="Q9" s="18" t="s">
        <v>30</v>
      </c>
      <c r="R9" s="18"/>
      <c r="S9" s="18"/>
      <c r="T9" s="8" t="n">
        <f aca="false">COUNTA(H9:S9)</f>
        <v>10</v>
      </c>
    </row>
    <row r="10" customFormat="false" ht="15" hidden="false" customHeight="false" outlineLevel="0" collapsed="false">
      <c r="A10" s="8" t="s">
        <v>61</v>
      </c>
      <c r="B10" s="8" t="s">
        <v>39</v>
      </c>
      <c r="C10" s="8" t="s">
        <v>65</v>
      </c>
      <c r="D10" s="13" t="s">
        <v>48</v>
      </c>
      <c r="E10" s="8" t="s">
        <v>163</v>
      </c>
      <c r="F10" s="8" t="s">
        <v>66</v>
      </c>
      <c r="G10" s="8" t="s">
        <v>64</v>
      </c>
      <c r="H10" s="17" t="s">
        <v>17</v>
      </c>
      <c r="I10" s="8" t="s">
        <v>32</v>
      </c>
      <c r="J10" s="8" t="s">
        <v>34</v>
      </c>
      <c r="K10" s="8" t="s">
        <v>31</v>
      </c>
      <c r="L10" s="8" t="s">
        <v>36</v>
      </c>
      <c r="M10" s="8" t="s">
        <v>33</v>
      </c>
      <c r="N10" s="8" t="s">
        <v>21</v>
      </c>
      <c r="O10" s="8" t="s">
        <v>26</v>
      </c>
      <c r="P10" s="8" t="s">
        <v>29</v>
      </c>
      <c r="Q10" s="8" t="s">
        <v>30</v>
      </c>
      <c r="R10" s="8"/>
      <c r="S10" s="8"/>
      <c r="T10" s="8" t="n">
        <f aca="false">COUNTA(H10:S10)</f>
        <v>10</v>
      </c>
    </row>
    <row r="11" customFormat="false" ht="15" hidden="false" customHeight="false" outlineLevel="0" collapsed="false">
      <c r="A11" s="18" t="s">
        <v>67</v>
      </c>
      <c r="B11" s="18" t="s">
        <v>46</v>
      </c>
      <c r="C11" s="18" t="s">
        <v>68</v>
      </c>
      <c r="D11" s="6" t="s">
        <v>41</v>
      </c>
      <c r="E11" s="18" t="s">
        <v>164</v>
      </c>
      <c r="F11" s="18" t="s">
        <v>69</v>
      </c>
      <c r="G11" s="18" t="s">
        <v>70</v>
      </c>
      <c r="H11" s="17" t="s">
        <v>15</v>
      </c>
      <c r="I11" s="18" t="s">
        <v>31</v>
      </c>
      <c r="J11" s="18" t="s">
        <v>22</v>
      </c>
      <c r="K11" s="18" t="s">
        <v>23</v>
      </c>
      <c r="L11" s="18" t="s">
        <v>19</v>
      </c>
      <c r="M11" s="18" t="s">
        <v>18</v>
      </c>
      <c r="N11" s="18" t="s">
        <v>24</v>
      </c>
      <c r="O11" s="18" t="s">
        <v>26</v>
      </c>
      <c r="P11" s="18" t="s">
        <v>29</v>
      </c>
      <c r="Q11" s="18" t="s">
        <v>20</v>
      </c>
      <c r="R11" s="18" t="s">
        <v>25</v>
      </c>
      <c r="S11" s="18"/>
      <c r="T11" s="8" t="n">
        <f aca="false">COUNTA(H11:S11)</f>
        <v>11</v>
      </c>
    </row>
    <row r="12" customFormat="false" ht="15" hidden="false" customHeight="false" outlineLevel="0" collapsed="false">
      <c r="A12" s="8" t="s">
        <v>71</v>
      </c>
      <c r="B12" s="8" t="s">
        <v>39</v>
      </c>
      <c r="C12" s="8" t="s">
        <v>72</v>
      </c>
      <c r="D12" s="13" t="s">
        <v>48</v>
      </c>
      <c r="E12" s="8" t="s">
        <v>165</v>
      </c>
      <c r="F12" s="8" t="s">
        <v>73</v>
      </c>
      <c r="G12" s="8" t="s">
        <v>43</v>
      </c>
      <c r="H12" s="17" t="s">
        <v>16</v>
      </c>
      <c r="I12" s="8" t="s">
        <v>34</v>
      </c>
      <c r="J12" s="8" t="s">
        <v>36</v>
      </c>
      <c r="K12" s="8" t="s">
        <v>33</v>
      </c>
      <c r="L12" s="8" t="s">
        <v>37</v>
      </c>
      <c r="M12" s="8" t="s">
        <v>22</v>
      </c>
      <c r="N12" s="8" t="s">
        <v>28</v>
      </c>
      <c r="O12" s="8" t="s">
        <v>27</v>
      </c>
      <c r="P12" s="8" t="s">
        <v>29</v>
      </c>
      <c r="Q12" s="8" t="s">
        <v>20</v>
      </c>
      <c r="R12" s="8"/>
      <c r="S12" s="8"/>
      <c r="T12" s="8" t="n">
        <f aca="false">COUNTA(H12:S12)</f>
        <v>10</v>
      </c>
    </row>
    <row r="13" customFormat="false" ht="15" hidden="false" customHeight="false" outlineLevel="0" collapsed="false">
      <c r="A13" s="18" t="s">
        <v>74</v>
      </c>
      <c r="B13" s="18" t="s">
        <v>39</v>
      </c>
      <c r="C13" s="18" t="s">
        <v>58</v>
      </c>
      <c r="D13" s="6" t="s">
        <v>41</v>
      </c>
      <c r="E13" s="18" t="s">
        <v>166</v>
      </c>
      <c r="F13" s="18" t="s">
        <v>75</v>
      </c>
      <c r="G13" s="18" t="s">
        <v>76</v>
      </c>
      <c r="H13" s="17" t="s">
        <v>15</v>
      </c>
      <c r="I13" s="18" t="s">
        <v>31</v>
      </c>
      <c r="J13" s="18" t="s">
        <v>22</v>
      </c>
      <c r="K13" s="18" t="s">
        <v>23</v>
      </c>
      <c r="L13" s="18" t="s">
        <v>19</v>
      </c>
      <c r="M13" s="18" t="s">
        <v>28</v>
      </c>
      <c r="N13" s="18" t="s">
        <v>18</v>
      </c>
      <c r="O13" s="18" t="s">
        <v>24</v>
      </c>
      <c r="P13" s="18" t="s">
        <v>27</v>
      </c>
      <c r="Q13" s="18" t="s">
        <v>20</v>
      </c>
      <c r="R13" s="18" t="s">
        <v>25</v>
      </c>
      <c r="S13" s="18"/>
      <c r="T13" s="8" t="n">
        <f aca="false">COUNTA(H13:S13)</f>
        <v>11</v>
      </c>
    </row>
    <row r="14" customFormat="false" ht="15" hidden="false" customHeight="false" outlineLevel="0" collapsed="false">
      <c r="A14" s="8" t="s">
        <v>77</v>
      </c>
      <c r="B14" s="8" t="s">
        <v>39</v>
      </c>
      <c r="C14" s="8" t="s">
        <v>78</v>
      </c>
      <c r="D14" s="6" t="s">
        <v>41</v>
      </c>
      <c r="E14" s="8" t="s">
        <v>167</v>
      </c>
      <c r="F14" s="8" t="s">
        <v>79</v>
      </c>
      <c r="G14" s="8" t="s">
        <v>80</v>
      </c>
      <c r="H14" s="17" t="s">
        <v>14</v>
      </c>
      <c r="I14" s="8" t="s">
        <v>32</v>
      </c>
      <c r="J14" s="8" t="s">
        <v>22</v>
      </c>
      <c r="K14" s="8" t="s">
        <v>23</v>
      </c>
      <c r="L14" s="8" t="s">
        <v>19</v>
      </c>
      <c r="M14" s="8" t="s">
        <v>18</v>
      </c>
      <c r="N14" s="8" t="s">
        <v>24</v>
      </c>
      <c r="O14" s="8" t="s">
        <v>21</v>
      </c>
      <c r="P14" s="8" t="s">
        <v>26</v>
      </c>
      <c r="Q14" s="8" t="s">
        <v>20</v>
      </c>
      <c r="R14" s="8" t="s">
        <v>25</v>
      </c>
      <c r="S14" s="8"/>
      <c r="T14" s="8" t="n">
        <f aca="false">COUNTA(H14:S14)</f>
        <v>11</v>
      </c>
    </row>
    <row r="15" customFormat="false" ht="15" hidden="false" customHeight="false" outlineLevel="0" collapsed="false">
      <c r="A15" s="18" t="s">
        <v>77</v>
      </c>
      <c r="B15" s="18" t="s">
        <v>39</v>
      </c>
      <c r="C15" s="18" t="s">
        <v>81</v>
      </c>
      <c r="D15" s="13" t="s">
        <v>48</v>
      </c>
      <c r="E15" s="18" t="s">
        <v>168</v>
      </c>
      <c r="F15" s="18" t="s">
        <v>52</v>
      </c>
      <c r="G15" s="18" t="s">
        <v>82</v>
      </c>
      <c r="H15" s="17" t="s">
        <v>16</v>
      </c>
      <c r="I15" s="18" t="s">
        <v>34</v>
      </c>
      <c r="J15" s="18" t="s">
        <v>31</v>
      </c>
      <c r="K15" s="18" t="s">
        <v>35</v>
      </c>
      <c r="L15" s="18" t="s">
        <v>36</v>
      </c>
      <c r="M15" s="18" t="s">
        <v>33</v>
      </c>
      <c r="N15" s="18" t="s">
        <v>37</v>
      </c>
      <c r="O15" s="18" t="s">
        <v>28</v>
      </c>
      <c r="P15" s="18" t="s">
        <v>27</v>
      </c>
      <c r="Q15" s="18" t="s">
        <v>29</v>
      </c>
      <c r="R15" s="18"/>
      <c r="S15" s="18"/>
      <c r="T15" s="8" t="n">
        <f aca="false">COUNTA(H15:S15)</f>
        <v>10</v>
      </c>
    </row>
    <row r="16" customFormat="false" ht="15" hidden="false" customHeight="false" outlineLevel="0" collapsed="false">
      <c r="A16" s="8" t="s">
        <v>77</v>
      </c>
      <c r="B16" s="8" t="s">
        <v>39</v>
      </c>
      <c r="C16" s="8" t="s">
        <v>83</v>
      </c>
      <c r="D16" s="13" t="s">
        <v>48</v>
      </c>
      <c r="E16" s="8" t="s">
        <v>169</v>
      </c>
      <c r="F16" s="8" t="s">
        <v>49</v>
      </c>
      <c r="G16" s="8" t="s">
        <v>82</v>
      </c>
      <c r="H16" s="17" t="s">
        <v>16</v>
      </c>
      <c r="I16" s="8" t="s">
        <v>34</v>
      </c>
      <c r="J16" s="8" t="s">
        <v>31</v>
      </c>
      <c r="K16" s="8" t="s">
        <v>35</v>
      </c>
      <c r="L16" s="8" t="s">
        <v>36</v>
      </c>
      <c r="M16" s="8" t="s">
        <v>33</v>
      </c>
      <c r="N16" s="8" t="s">
        <v>37</v>
      </c>
      <c r="O16" s="8" t="s">
        <v>28</v>
      </c>
      <c r="P16" s="8" t="s">
        <v>27</v>
      </c>
      <c r="Q16" s="8" t="s">
        <v>29</v>
      </c>
      <c r="R16" s="8"/>
      <c r="S16" s="8"/>
      <c r="T16" s="8" t="n">
        <f aca="false">COUNTA(H16:S16)</f>
        <v>10</v>
      </c>
    </row>
    <row r="17" customFormat="false" ht="15" hidden="false" customHeight="false" outlineLevel="0" collapsed="false">
      <c r="A17" s="18" t="s">
        <v>84</v>
      </c>
      <c r="B17" s="18" t="s">
        <v>46</v>
      </c>
      <c r="C17" s="18" t="s">
        <v>85</v>
      </c>
      <c r="D17" s="6" t="s">
        <v>41</v>
      </c>
      <c r="E17" s="18" t="s">
        <v>170</v>
      </c>
      <c r="F17" s="18" t="s">
        <v>86</v>
      </c>
      <c r="G17" s="18" t="s">
        <v>87</v>
      </c>
      <c r="H17" s="17" t="s">
        <v>15</v>
      </c>
      <c r="I17" s="18" t="s">
        <v>22</v>
      </c>
      <c r="J17" s="18" t="s">
        <v>23</v>
      </c>
      <c r="K17" s="18" t="s">
        <v>19</v>
      </c>
      <c r="L17" s="18" t="s">
        <v>18</v>
      </c>
      <c r="M17" s="18" t="s">
        <v>24</v>
      </c>
      <c r="N17" s="18" t="s">
        <v>26</v>
      </c>
      <c r="O17" s="18" t="s">
        <v>29</v>
      </c>
      <c r="P17" s="18" t="s">
        <v>20</v>
      </c>
      <c r="Q17" s="18" t="s">
        <v>30</v>
      </c>
      <c r="R17" s="18" t="s">
        <v>25</v>
      </c>
      <c r="S17" s="18"/>
      <c r="T17" s="8" t="n">
        <f aca="false">COUNTA(H17:S17)</f>
        <v>11</v>
      </c>
    </row>
    <row r="18" customFormat="false" ht="15" hidden="false" customHeight="false" outlineLevel="0" collapsed="false">
      <c r="A18" s="8" t="s">
        <v>88</v>
      </c>
      <c r="B18" s="8" t="s">
        <v>46</v>
      </c>
      <c r="C18" s="8" t="s">
        <v>62</v>
      </c>
      <c r="D18" s="13" t="s">
        <v>48</v>
      </c>
      <c r="E18" s="8" t="s">
        <v>171</v>
      </c>
      <c r="F18" s="8" t="s">
        <v>89</v>
      </c>
      <c r="G18" s="8" t="s">
        <v>80</v>
      </c>
      <c r="H18" s="17" t="s">
        <v>16</v>
      </c>
      <c r="I18" s="8" t="s">
        <v>32</v>
      </c>
      <c r="J18" s="8" t="s">
        <v>34</v>
      </c>
      <c r="K18" s="8" t="s">
        <v>35</v>
      </c>
      <c r="L18" s="8" t="s">
        <v>33</v>
      </c>
      <c r="M18" s="8" t="s">
        <v>37</v>
      </c>
      <c r="N18" s="8" t="s">
        <v>28</v>
      </c>
      <c r="O18" s="8" t="s">
        <v>24</v>
      </c>
      <c r="P18" s="8" t="s">
        <v>29</v>
      </c>
      <c r="Q18" s="8" t="s">
        <v>30</v>
      </c>
      <c r="R18" s="8"/>
      <c r="S18" s="8"/>
      <c r="T18" s="8" t="n">
        <f aca="false">COUNTA(H18:S18)</f>
        <v>10</v>
      </c>
    </row>
    <row r="19" customFormat="false" ht="15" hidden="false" customHeight="false" outlineLevel="0" collapsed="false">
      <c r="A19" s="18" t="s">
        <v>88</v>
      </c>
      <c r="B19" s="18" t="s">
        <v>46</v>
      </c>
      <c r="C19" s="18" t="s">
        <v>90</v>
      </c>
      <c r="D19" s="13" t="s">
        <v>48</v>
      </c>
      <c r="E19" s="18" t="s">
        <v>172</v>
      </c>
      <c r="F19" s="18" t="s">
        <v>91</v>
      </c>
      <c r="G19" s="18" t="s">
        <v>80</v>
      </c>
      <c r="H19" s="17" t="s">
        <v>16</v>
      </c>
      <c r="I19" s="18" t="s">
        <v>32</v>
      </c>
      <c r="J19" s="18" t="s">
        <v>34</v>
      </c>
      <c r="K19" s="18" t="s">
        <v>35</v>
      </c>
      <c r="L19" s="18" t="s">
        <v>33</v>
      </c>
      <c r="M19" s="18" t="s">
        <v>37</v>
      </c>
      <c r="N19" s="18" t="s">
        <v>28</v>
      </c>
      <c r="O19" s="18" t="s">
        <v>24</v>
      </c>
      <c r="P19" s="18" t="s">
        <v>29</v>
      </c>
      <c r="Q19" s="18" t="s">
        <v>30</v>
      </c>
      <c r="R19" s="18"/>
      <c r="S19" s="18"/>
      <c r="T19" s="8" t="n">
        <f aca="false">COUNTA(H19:S19)</f>
        <v>10</v>
      </c>
    </row>
    <row r="20" customFormat="false" ht="15" hidden="false" customHeight="false" outlineLevel="0" collapsed="false">
      <c r="A20" s="8" t="s">
        <v>88</v>
      </c>
      <c r="B20" s="8" t="s">
        <v>46</v>
      </c>
      <c r="C20" s="8" t="s">
        <v>92</v>
      </c>
      <c r="D20" s="6" t="s">
        <v>41</v>
      </c>
      <c r="E20" s="8" t="s">
        <v>173</v>
      </c>
      <c r="F20" s="8" t="s">
        <v>93</v>
      </c>
      <c r="G20" s="8" t="s">
        <v>80</v>
      </c>
      <c r="H20" s="17" t="s">
        <v>14</v>
      </c>
      <c r="I20" s="8" t="s">
        <v>31</v>
      </c>
      <c r="J20" s="8" t="s">
        <v>22</v>
      </c>
      <c r="K20" s="8" t="s">
        <v>23</v>
      </c>
      <c r="L20" s="8" t="s">
        <v>19</v>
      </c>
      <c r="M20" s="8" t="s">
        <v>18</v>
      </c>
      <c r="N20" s="8" t="s">
        <v>21</v>
      </c>
      <c r="O20" s="8" t="s">
        <v>26</v>
      </c>
      <c r="P20" s="8" t="s">
        <v>27</v>
      </c>
      <c r="Q20" s="8" t="s">
        <v>20</v>
      </c>
      <c r="R20" s="8" t="s">
        <v>25</v>
      </c>
      <c r="S20" s="8"/>
      <c r="T20" s="8" t="n">
        <f aca="false">COUNTA(H20:S20)</f>
        <v>11</v>
      </c>
    </row>
    <row r="21" customFormat="false" ht="15" hidden="false" customHeight="false" outlineLevel="0" collapsed="false">
      <c r="A21" s="18" t="s">
        <v>94</v>
      </c>
      <c r="B21" s="18" t="s">
        <v>39</v>
      </c>
      <c r="C21" s="18" t="s">
        <v>95</v>
      </c>
      <c r="D21" s="13" t="s">
        <v>48</v>
      </c>
      <c r="E21" s="18" t="s">
        <v>174</v>
      </c>
      <c r="F21" s="18" t="s">
        <v>96</v>
      </c>
      <c r="G21" s="18" t="s">
        <v>97</v>
      </c>
      <c r="H21" s="17" t="s">
        <v>17</v>
      </c>
      <c r="I21" s="18" t="s">
        <v>32</v>
      </c>
      <c r="J21" s="18" t="s">
        <v>34</v>
      </c>
      <c r="K21" s="18" t="s">
        <v>31</v>
      </c>
      <c r="L21" s="18" t="s">
        <v>35</v>
      </c>
      <c r="M21" s="18" t="s">
        <v>36</v>
      </c>
      <c r="N21" s="18" t="s">
        <v>33</v>
      </c>
      <c r="O21" s="18" t="s">
        <v>28</v>
      </c>
      <c r="P21" s="18" t="s">
        <v>24</v>
      </c>
      <c r="Q21" s="18" t="s">
        <v>30</v>
      </c>
      <c r="R21" s="18"/>
      <c r="S21" s="18"/>
      <c r="T21" s="8" t="n">
        <f aca="false">COUNTA(H21:S21)</f>
        <v>10</v>
      </c>
    </row>
    <row r="22" customFormat="false" ht="15" hidden="false" customHeight="false" outlineLevel="0" collapsed="false">
      <c r="A22" s="8" t="s">
        <v>94</v>
      </c>
      <c r="B22" s="8" t="s">
        <v>39</v>
      </c>
      <c r="C22" s="8" t="s">
        <v>65</v>
      </c>
      <c r="D22" s="13" t="s">
        <v>48</v>
      </c>
      <c r="E22" s="8" t="s">
        <v>175</v>
      </c>
      <c r="F22" s="8" t="s">
        <v>91</v>
      </c>
      <c r="G22" s="8" t="s">
        <v>97</v>
      </c>
      <c r="H22" s="17" t="s">
        <v>17</v>
      </c>
      <c r="I22" s="8" t="s">
        <v>32</v>
      </c>
      <c r="J22" s="8" t="s">
        <v>34</v>
      </c>
      <c r="K22" s="8" t="s">
        <v>31</v>
      </c>
      <c r="L22" s="8" t="s">
        <v>35</v>
      </c>
      <c r="M22" s="8" t="s">
        <v>36</v>
      </c>
      <c r="N22" s="8" t="s">
        <v>33</v>
      </c>
      <c r="O22" s="8" t="s">
        <v>28</v>
      </c>
      <c r="P22" s="8" t="s">
        <v>24</v>
      </c>
      <c r="Q22" s="8" t="s">
        <v>30</v>
      </c>
      <c r="R22" s="8"/>
      <c r="S22" s="8"/>
      <c r="T22" s="8" t="n">
        <f aca="false">COUNTA(H22:S22)</f>
        <v>10</v>
      </c>
    </row>
    <row r="23" customFormat="false" ht="15" hidden="false" customHeight="false" outlineLevel="0" collapsed="false">
      <c r="A23" s="18" t="s">
        <v>94</v>
      </c>
      <c r="B23" s="18" t="s">
        <v>39</v>
      </c>
      <c r="C23" s="18" t="s">
        <v>98</v>
      </c>
      <c r="D23" s="6" t="s">
        <v>41</v>
      </c>
      <c r="E23" s="18" t="s">
        <v>176</v>
      </c>
      <c r="F23" s="18" t="s">
        <v>99</v>
      </c>
      <c r="G23" s="18" t="s">
        <v>100</v>
      </c>
      <c r="H23" s="17" t="s">
        <v>15</v>
      </c>
      <c r="I23" s="18" t="s">
        <v>22</v>
      </c>
      <c r="J23" s="18" t="s">
        <v>23</v>
      </c>
      <c r="K23" s="18" t="s">
        <v>19</v>
      </c>
      <c r="L23" s="18" t="s">
        <v>18</v>
      </c>
      <c r="M23" s="18" t="s">
        <v>21</v>
      </c>
      <c r="N23" s="18" t="s">
        <v>26</v>
      </c>
      <c r="O23" s="18" t="s">
        <v>27</v>
      </c>
      <c r="P23" s="18" t="s">
        <v>29</v>
      </c>
      <c r="Q23" s="18" t="s">
        <v>20</v>
      </c>
      <c r="R23" s="18" t="s">
        <v>25</v>
      </c>
      <c r="S23" s="18"/>
      <c r="T23" s="8" t="n">
        <f aca="false">COUNTA(H23:S23)</f>
        <v>11</v>
      </c>
    </row>
    <row r="24" customFormat="false" ht="15" hidden="false" customHeight="false" outlineLevel="0" collapsed="false">
      <c r="A24" s="8" t="s">
        <v>101</v>
      </c>
      <c r="B24" s="8" t="s">
        <v>46</v>
      </c>
      <c r="C24" s="8" t="s">
        <v>102</v>
      </c>
      <c r="D24" s="6" t="s">
        <v>41</v>
      </c>
      <c r="E24" s="8" t="s">
        <v>177</v>
      </c>
      <c r="F24" s="8" t="s">
        <v>103</v>
      </c>
      <c r="G24" s="8" t="s">
        <v>43</v>
      </c>
      <c r="H24" s="17" t="s">
        <v>14</v>
      </c>
      <c r="I24" s="8" t="s">
        <v>32</v>
      </c>
      <c r="J24" s="8" t="s">
        <v>22</v>
      </c>
      <c r="K24" s="8" t="s">
        <v>23</v>
      </c>
      <c r="L24" s="8" t="s">
        <v>19</v>
      </c>
      <c r="M24" s="8" t="s">
        <v>18</v>
      </c>
      <c r="N24" s="8" t="s">
        <v>21</v>
      </c>
      <c r="O24" s="8" t="s">
        <v>26</v>
      </c>
      <c r="P24" s="8" t="s">
        <v>27</v>
      </c>
      <c r="Q24" s="8" t="s">
        <v>20</v>
      </c>
      <c r="R24" s="8" t="s">
        <v>25</v>
      </c>
      <c r="S24" s="8"/>
      <c r="T24" s="8" t="n">
        <f aca="false">COUNTA(H24:S24)</f>
        <v>11</v>
      </c>
    </row>
    <row r="25" customFormat="false" ht="15" hidden="false" customHeight="false" outlineLevel="0" collapsed="false">
      <c r="A25" s="18" t="s">
        <v>101</v>
      </c>
      <c r="B25" s="18" t="s">
        <v>46</v>
      </c>
      <c r="C25" s="18" t="s">
        <v>104</v>
      </c>
      <c r="D25" s="13" t="s">
        <v>48</v>
      </c>
      <c r="E25" s="18" t="s">
        <v>178</v>
      </c>
      <c r="F25" s="18" t="s">
        <v>105</v>
      </c>
      <c r="G25" s="18" t="s">
        <v>106</v>
      </c>
      <c r="H25" s="17" t="s">
        <v>17</v>
      </c>
      <c r="I25" s="18" t="s">
        <v>34</v>
      </c>
      <c r="J25" s="18" t="s">
        <v>31</v>
      </c>
      <c r="K25" s="18" t="s">
        <v>35</v>
      </c>
      <c r="L25" s="18" t="s">
        <v>36</v>
      </c>
      <c r="M25" s="18" t="s">
        <v>37</v>
      </c>
      <c r="N25" s="18" t="s">
        <v>28</v>
      </c>
      <c r="O25" s="18" t="s">
        <v>24</v>
      </c>
      <c r="P25" s="18" t="s">
        <v>29</v>
      </c>
      <c r="Q25" s="18" t="s">
        <v>30</v>
      </c>
      <c r="R25" s="18"/>
      <c r="S25" s="18"/>
      <c r="T25" s="8" t="n">
        <f aca="false">COUNTA(H25:S25)</f>
        <v>10</v>
      </c>
    </row>
    <row r="26" customFormat="false" ht="15" hidden="false" customHeight="false" outlineLevel="0" collapsed="false">
      <c r="A26" s="8" t="s">
        <v>107</v>
      </c>
      <c r="B26" s="8" t="s">
        <v>39</v>
      </c>
      <c r="C26" s="8" t="s">
        <v>108</v>
      </c>
      <c r="D26" s="6" t="s">
        <v>41</v>
      </c>
      <c r="E26" s="8" t="s">
        <v>179</v>
      </c>
      <c r="F26" s="8" t="s">
        <v>109</v>
      </c>
      <c r="G26" s="8" t="s">
        <v>110</v>
      </c>
      <c r="H26" s="17" t="s">
        <v>14</v>
      </c>
      <c r="I26" s="8" t="s">
        <v>31</v>
      </c>
      <c r="J26" s="8" t="s">
        <v>22</v>
      </c>
      <c r="K26" s="8" t="s">
        <v>23</v>
      </c>
      <c r="L26" s="8" t="s">
        <v>19</v>
      </c>
      <c r="M26" s="8" t="s">
        <v>18</v>
      </c>
      <c r="N26" s="8" t="s">
        <v>24</v>
      </c>
      <c r="O26" s="8" t="s">
        <v>26</v>
      </c>
      <c r="P26" s="8" t="s">
        <v>27</v>
      </c>
      <c r="Q26" s="8" t="s">
        <v>20</v>
      </c>
      <c r="R26" s="8" t="s">
        <v>25</v>
      </c>
      <c r="S26" s="8"/>
      <c r="T26" s="8" t="n">
        <f aca="false">COUNTA(H26:S26)</f>
        <v>11</v>
      </c>
    </row>
    <row r="27" customFormat="false" ht="15" hidden="false" customHeight="false" outlineLevel="0" collapsed="false">
      <c r="A27" s="18" t="s">
        <v>111</v>
      </c>
      <c r="B27" s="18" t="s">
        <v>46</v>
      </c>
      <c r="C27" s="18" t="s">
        <v>102</v>
      </c>
      <c r="D27" s="6" t="s">
        <v>41</v>
      </c>
      <c r="E27" s="18" t="s">
        <v>180</v>
      </c>
      <c r="F27" s="18" t="s">
        <v>112</v>
      </c>
      <c r="G27" s="18" t="s">
        <v>43</v>
      </c>
      <c r="H27" s="17" t="s">
        <v>14</v>
      </c>
      <c r="I27" s="18" t="s">
        <v>22</v>
      </c>
      <c r="J27" s="18" t="s">
        <v>23</v>
      </c>
      <c r="K27" s="18" t="s">
        <v>19</v>
      </c>
      <c r="L27" s="18" t="s">
        <v>18</v>
      </c>
      <c r="M27" s="18" t="s">
        <v>24</v>
      </c>
      <c r="N27" s="18" t="s">
        <v>21</v>
      </c>
      <c r="O27" s="18" t="s">
        <v>27</v>
      </c>
      <c r="P27" s="18" t="s">
        <v>20</v>
      </c>
      <c r="Q27" s="18" t="s">
        <v>30</v>
      </c>
      <c r="R27" s="18" t="s">
        <v>25</v>
      </c>
      <c r="S27" s="18"/>
      <c r="T27" s="8" t="n">
        <f aca="false">COUNTA(H27:S27)</f>
        <v>11</v>
      </c>
    </row>
    <row r="28" customFormat="false" ht="15" hidden="false" customHeight="false" outlineLevel="0" collapsed="false">
      <c r="A28" s="8" t="s">
        <v>113</v>
      </c>
      <c r="B28" s="8" t="s">
        <v>39</v>
      </c>
      <c r="C28" s="8" t="s">
        <v>62</v>
      </c>
      <c r="D28" s="13" t="s">
        <v>48</v>
      </c>
      <c r="E28" s="8" t="s">
        <v>181</v>
      </c>
      <c r="F28" s="8" t="s">
        <v>114</v>
      </c>
      <c r="G28" s="8" t="s">
        <v>43</v>
      </c>
      <c r="H28" s="17" t="s">
        <v>17</v>
      </c>
      <c r="I28" s="8" t="s">
        <v>34</v>
      </c>
      <c r="J28" s="8" t="s">
        <v>31</v>
      </c>
      <c r="K28" s="8" t="s">
        <v>35</v>
      </c>
      <c r="L28" s="8" t="s">
        <v>36</v>
      </c>
      <c r="M28" s="8" t="s">
        <v>33</v>
      </c>
      <c r="N28" s="8" t="s">
        <v>37</v>
      </c>
      <c r="O28" s="8" t="s">
        <v>28</v>
      </c>
      <c r="P28" s="8" t="s">
        <v>21</v>
      </c>
      <c r="Q28" s="8" t="s">
        <v>25</v>
      </c>
      <c r="R28" s="8"/>
      <c r="S28" s="8"/>
      <c r="T28" s="8" t="n">
        <f aca="false">COUNTA(H28:S28)</f>
        <v>10</v>
      </c>
    </row>
    <row r="29" customFormat="false" ht="15" hidden="false" customHeight="false" outlineLevel="0" collapsed="false">
      <c r="A29" s="18" t="s">
        <v>113</v>
      </c>
      <c r="B29" s="18" t="s">
        <v>39</v>
      </c>
      <c r="C29" s="18" t="s">
        <v>115</v>
      </c>
      <c r="D29" s="13" t="s">
        <v>48</v>
      </c>
      <c r="E29" s="18" t="s">
        <v>182</v>
      </c>
      <c r="F29" s="18" t="s">
        <v>66</v>
      </c>
      <c r="G29" s="18" t="s">
        <v>43</v>
      </c>
      <c r="H29" s="17" t="s">
        <v>17</v>
      </c>
      <c r="I29" s="18" t="s">
        <v>34</v>
      </c>
      <c r="J29" s="18" t="s">
        <v>31</v>
      </c>
      <c r="K29" s="18" t="s">
        <v>35</v>
      </c>
      <c r="L29" s="18" t="s">
        <v>36</v>
      </c>
      <c r="M29" s="18" t="s">
        <v>33</v>
      </c>
      <c r="N29" s="18" t="s">
        <v>37</v>
      </c>
      <c r="O29" s="18" t="s">
        <v>28</v>
      </c>
      <c r="P29" s="18" t="s">
        <v>21</v>
      </c>
      <c r="Q29" s="18" t="s">
        <v>25</v>
      </c>
      <c r="R29" s="18"/>
      <c r="S29" s="18"/>
      <c r="T29" s="8" t="n">
        <f aca="false">COUNTA(H29:S29)</f>
        <v>10</v>
      </c>
    </row>
    <row r="30" customFormat="false" ht="15" hidden="false" customHeight="false" outlineLevel="0" collapsed="false">
      <c r="A30" s="8" t="s">
        <v>116</v>
      </c>
      <c r="B30" s="8" t="s">
        <v>39</v>
      </c>
      <c r="C30" s="8" t="s">
        <v>58</v>
      </c>
      <c r="D30" s="6" t="s">
        <v>41</v>
      </c>
      <c r="E30" s="8" t="s">
        <v>183</v>
      </c>
      <c r="F30" s="8" t="s">
        <v>117</v>
      </c>
      <c r="G30" s="8" t="s">
        <v>118</v>
      </c>
      <c r="H30" s="17" t="s">
        <v>14</v>
      </c>
      <c r="I30" s="8" t="s">
        <v>32</v>
      </c>
      <c r="J30" s="8" t="s">
        <v>23</v>
      </c>
      <c r="K30" s="8" t="s">
        <v>19</v>
      </c>
      <c r="L30" s="8" t="s">
        <v>18</v>
      </c>
      <c r="M30" s="8" t="s">
        <v>24</v>
      </c>
      <c r="N30" s="8" t="s">
        <v>21</v>
      </c>
      <c r="O30" s="8" t="s">
        <v>26</v>
      </c>
      <c r="P30" s="8" t="s">
        <v>27</v>
      </c>
      <c r="Q30" s="8" t="s">
        <v>30</v>
      </c>
      <c r="R30" s="8" t="s">
        <v>25</v>
      </c>
      <c r="S30" s="8"/>
      <c r="T30" s="8" t="n">
        <f aca="false">COUNTA(H30:S30)</f>
        <v>11</v>
      </c>
    </row>
    <row r="31" customFormat="false" ht="15" hidden="false" customHeight="false" outlineLevel="0" collapsed="false">
      <c r="A31" s="18" t="s">
        <v>119</v>
      </c>
      <c r="B31" s="18" t="s">
        <v>46</v>
      </c>
      <c r="C31" s="18" t="s">
        <v>102</v>
      </c>
      <c r="D31" s="6" t="s">
        <v>41</v>
      </c>
      <c r="E31" s="18" t="s">
        <v>184</v>
      </c>
      <c r="F31" s="18" t="s">
        <v>120</v>
      </c>
      <c r="G31" s="18" t="s">
        <v>43</v>
      </c>
      <c r="H31" s="17" t="s">
        <v>15</v>
      </c>
      <c r="I31" s="18" t="s">
        <v>22</v>
      </c>
      <c r="J31" s="18" t="s">
        <v>23</v>
      </c>
      <c r="K31" s="18" t="s">
        <v>19</v>
      </c>
      <c r="L31" s="18" t="s">
        <v>18</v>
      </c>
      <c r="M31" s="18" t="s">
        <v>21</v>
      </c>
      <c r="N31" s="18" t="s">
        <v>26</v>
      </c>
      <c r="O31" s="18" t="s">
        <v>27</v>
      </c>
      <c r="P31" s="18" t="s">
        <v>20</v>
      </c>
      <c r="Q31" s="18" t="s">
        <v>30</v>
      </c>
      <c r="R31" s="18" t="s">
        <v>25</v>
      </c>
      <c r="S31" s="18"/>
      <c r="T31" s="8" t="n">
        <f aca="false">COUNTA(H31:S31)</f>
        <v>11</v>
      </c>
    </row>
    <row r="32" customFormat="false" ht="15" hidden="false" customHeight="false" outlineLevel="0" collapsed="false">
      <c r="A32" s="8" t="s">
        <v>121</v>
      </c>
      <c r="B32" s="8" t="s">
        <v>39</v>
      </c>
      <c r="C32" s="8" t="s">
        <v>122</v>
      </c>
      <c r="D32" s="13" t="s">
        <v>48</v>
      </c>
      <c r="E32" s="8" t="s">
        <v>185</v>
      </c>
      <c r="F32" s="8" t="s">
        <v>123</v>
      </c>
      <c r="G32" s="8" t="s">
        <v>124</v>
      </c>
      <c r="H32" s="17" t="s">
        <v>17</v>
      </c>
      <c r="I32" s="8" t="s">
        <v>31</v>
      </c>
      <c r="J32" s="8" t="s">
        <v>35</v>
      </c>
      <c r="K32" s="8" t="s">
        <v>36</v>
      </c>
      <c r="L32" s="8" t="s">
        <v>37</v>
      </c>
      <c r="M32" s="8" t="s">
        <v>23</v>
      </c>
      <c r="N32" s="8" t="s">
        <v>21</v>
      </c>
      <c r="O32" s="8" t="s">
        <v>26</v>
      </c>
      <c r="P32" s="8" t="s">
        <v>20</v>
      </c>
      <c r="Q32" s="8" t="s">
        <v>30</v>
      </c>
      <c r="R32" s="8"/>
      <c r="S32" s="8"/>
      <c r="T32" s="8" t="n">
        <f aca="false">COUNTA(H32:S32)</f>
        <v>10</v>
      </c>
    </row>
    <row r="33" customFormat="false" ht="15" hidden="false" customHeight="false" outlineLevel="0" collapsed="false">
      <c r="A33" s="18" t="s">
        <v>121</v>
      </c>
      <c r="B33" s="18" t="s">
        <v>39</v>
      </c>
      <c r="C33" s="18" t="s">
        <v>125</v>
      </c>
      <c r="D33" s="13" t="s">
        <v>48</v>
      </c>
      <c r="E33" s="18" t="s">
        <v>186</v>
      </c>
      <c r="F33" s="18" t="s">
        <v>89</v>
      </c>
      <c r="G33" s="18" t="s">
        <v>124</v>
      </c>
      <c r="H33" s="17" t="s">
        <v>17</v>
      </c>
      <c r="I33" s="18" t="s">
        <v>31</v>
      </c>
      <c r="J33" s="18" t="s">
        <v>35</v>
      </c>
      <c r="K33" s="18" t="s">
        <v>36</v>
      </c>
      <c r="L33" s="18" t="s">
        <v>37</v>
      </c>
      <c r="M33" s="18" t="s">
        <v>23</v>
      </c>
      <c r="N33" s="18" t="s">
        <v>21</v>
      </c>
      <c r="O33" s="18" t="s">
        <v>26</v>
      </c>
      <c r="P33" s="18" t="s">
        <v>20</v>
      </c>
      <c r="Q33" s="18" t="s">
        <v>30</v>
      </c>
      <c r="R33" s="18"/>
      <c r="S33" s="18"/>
      <c r="T33" s="8" t="n">
        <f aca="false">COUNTA(H33:S33)</f>
        <v>10</v>
      </c>
    </row>
    <row r="34" customFormat="false" ht="15" hidden="false" customHeight="false" outlineLevel="0" collapsed="false">
      <c r="A34" s="8" t="s">
        <v>126</v>
      </c>
      <c r="B34" s="8" t="s">
        <v>39</v>
      </c>
      <c r="C34" s="8" t="s">
        <v>62</v>
      </c>
      <c r="D34" s="6" t="s">
        <v>41</v>
      </c>
      <c r="E34" s="8" t="s">
        <v>187</v>
      </c>
      <c r="F34" s="8" t="s">
        <v>127</v>
      </c>
      <c r="G34" s="8" t="s">
        <v>43</v>
      </c>
      <c r="H34" s="17" t="s">
        <v>14</v>
      </c>
      <c r="I34" s="8" t="s">
        <v>22</v>
      </c>
      <c r="J34" s="8" t="s">
        <v>23</v>
      </c>
      <c r="K34" s="8" t="s">
        <v>19</v>
      </c>
      <c r="L34" s="8" t="s">
        <v>18</v>
      </c>
      <c r="M34" s="8" t="s">
        <v>24</v>
      </c>
      <c r="N34" s="8" t="s">
        <v>21</v>
      </c>
      <c r="O34" s="8" t="s">
        <v>26</v>
      </c>
      <c r="P34" s="8" t="s">
        <v>27</v>
      </c>
      <c r="Q34" s="8" t="s">
        <v>20</v>
      </c>
      <c r="R34" s="8" t="s">
        <v>25</v>
      </c>
      <c r="S34" s="8"/>
      <c r="T34" s="8" t="n">
        <f aca="false">COUNTA(H34:S34)</f>
        <v>11</v>
      </c>
    </row>
    <row r="35" customFormat="false" ht="15" hidden="false" customHeight="false" outlineLevel="0" collapsed="false">
      <c r="A35" s="18" t="s">
        <v>128</v>
      </c>
      <c r="B35" s="18" t="s">
        <v>46</v>
      </c>
      <c r="C35" s="18" t="s">
        <v>62</v>
      </c>
      <c r="D35" s="13" t="s">
        <v>48</v>
      </c>
      <c r="E35" s="18" t="s">
        <v>188</v>
      </c>
      <c r="F35" s="18" t="s">
        <v>63</v>
      </c>
      <c r="G35" s="18" t="s">
        <v>64</v>
      </c>
      <c r="H35" s="17" t="s">
        <v>16</v>
      </c>
      <c r="I35" s="18" t="s">
        <v>32</v>
      </c>
      <c r="J35" s="18" t="s">
        <v>34</v>
      </c>
      <c r="K35" s="18" t="s">
        <v>35</v>
      </c>
      <c r="L35" s="18" t="s">
        <v>33</v>
      </c>
      <c r="M35" s="18" t="s">
        <v>37</v>
      </c>
      <c r="N35" s="18" t="s">
        <v>21</v>
      </c>
      <c r="O35" s="18" t="s">
        <v>27</v>
      </c>
      <c r="P35" s="18" t="s">
        <v>29</v>
      </c>
      <c r="Q35" s="18" t="s">
        <v>30</v>
      </c>
      <c r="R35" s="18"/>
      <c r="S35" s="18"/>
      <c r="T35" s="8" t="n">
        <f aca="false">COUNTA(H35:S35)</f>
        <v>10</v>
      </c>
    </row>
    <row r="36" customFormat="false" ht="15" hidden="false" customHeight="false" outlineLevel="0" collapsed="false">
      <c r="A36" s="8" t="s">
        <v>128</v>
      </c>
      <c r="B36" s="8" t="s">
        <v>46</v>
      </c>
      <c r="C36" s="8" t="s">
        <v>65</v>
      </c>
      <c r="D36" s="13" t="s">
        <v>48</v>
      </c>
      <c r="E36" s="8" t="s">
        <v>189</v>
      </c>
      <c r="F36" s="8" t="s">
        <v>66</v>
      </c>
      <c r="G36" s="8" t="s">
        <v>64</v>
      </c>
      <c r="H36" s="17" t="s">
        <v>16</v>
      </c>
      <c r="I36" s="8" t="s">
        <v>32</v>
      </c>
      <c r="J36" s="8" t="s">
        <v>34</v>
      </c>
      <c r="K36" s="8" t="s">
        <v>35</v>
      </c>
      <c r="L36" s="8" t="s">
        <v>33</v>
      </c>
      <c r="M36" s="8" t="s">
        <v>37</v>
      </c>
      <c r="N36" s="8" t="s">
        <v>21</v>
      </c>
      <c r="O36" s="8" t="s">
        <v>27</v>
      </c>
      <c r="P36" s="8" t="s">
        <v>29</v>
      </c>
      <c r="Q36" s="8" t="s">
        <v>30</v>
      </c>
      <c r="R36" s="8"/>
      <c r="S36" s="8"/>
      <c r="T36" s="8" t="n">
        <f aca="false">COUNTA(H36:S36)</f>
        <v>10</v>
      </c>
    </row>
    <row r="37" customFormat="false" ht="15" hidden="false" customHeight="false" outlineLevel="0" collapsed="false">
      <c r="A37" s="18" t="s">
        <v>129</v>
      </c>
      <c r="B37" s="18" t="s">
        <v>39</v>
      </c>
      <c r="C37" s="18" t="s">
        <v>85</v>
      </c>
      <c r="D37" s="6" t="s">
        <v>41</v>
      </c>
      <c r="E37" s="18" t="s">
        <v>190</v>
      </c>
      <c r="F37" s="18" t="s">
        <v>130</v>
      </c>
      <c r="G37" s="18" t="s">
        <v>131</v>
      </c>
      <c r="H37" s="17" t="s">
        <v>15</v>
      </c>
      <c r="I37" s="18" t="s">
        <v>32</v>
      </c>
      <c r="J37" s="18" t="s">
        <v>22</v>
      </c>
      <c r="K37" s="18" t="s">
        <v>19</v>
      </c>
      <c r="L37" s="18" t="s">
        <v>28</v>
      </c>
      <c r="M37" s="18" t="s">
        <v>18</v>
      </c>
      <c r="N37" s="18" t="s">
        <v>24</v>
      </c>
      <c r="O37" s="18" t="s">
        <v>26</v>
      </c>
      <c r="P37" s="18" t="s">
        <v>27</v>
      </c>
      <c r="Q37" s="18" t="s">
        <v>20</v>
      </c>
      <c r="R37" s="18" t="s">
        <v>25</v>
      </c>
      <c r="S37" s="18"/>
      <c r="T37" s="8" t="n">
        <f aca="false">COUNTA(H37:S37)</f>
        <v>11</v>
      </c>
    </row>
    <row r="38" customFormat="false" ht="15" hidden="false" customHeight="false" outlineLevel="0" collapsed="false">
      <c r="A38" s="8" t="s">
        <v>132</v>
      </c>
      <c r="B38" s="8" t="s">
        <v>39</v>
      </c>
      <c r="C38" s="8" t="s">
        <v>102</v>
      </c>
      <c r="D38" s="6" t="s">
        <v>41</v>
      </c>
      <c r="E38" s="8" t="s">
        <v>191</v>
      </c>
      <c r="F38" s="8" t="s">
        <v>133</v>
      </c>
      <c r="G38" s="8" t="s">
        <v>60</v>
      </c>
      <c r="H38" s="17" t="s">
        <v>14</v>
      </c>
      <c r="I38" s="8" t="s">
        <v>32</v>
      </c>
      <c r="J38" s="8" t="s">
        <v>22</v>
      </c>
      <c r="K38" s="8" t="s">
        <v>23</v>
      </c>
      <c r="L38" s="8" t="s">
        <v>19</v>
      </c>
      <c r="M38" s="8" t="s">
        <v>28</v>
      </c>
      <c r="N38" s="8" t="s">
        <v>18</v>
      </c>
      <c r="O38" s="8" t="s">
        <v>21</v>
      </c>
      <c r="P38" s="8" t="s">
        <v>27</v>
      </c>
      <c r="Q38" s="8" t="s">
        <v>20</v>
      </c>
      <c r="R38" s="8" t="s">
        <v>25</v>
      </c>
      <c r="S38" s="8"/>
      <c r="T38" s="8" t="n">
        <f aca="false">COUNTA(H38:S38)</f>
        <v>11</v>
      </c>
    </row>
    <row r="39" customFormat="false" ht="15" hidden="false" customHeight="false" outlineLevel="0" collapsed="false">
      <c r="A39" s="18" t="s">
        <v>132</v>
      </c>
      <c r="B39" s="18" t="s">
        <v>39</v>
      </c>
      <c r="C39" s="18" t="s">
        <v>92</v>
      </c>
      <c r="D39" s="13" t="s">
        <v>48</v>
      </c>
      <c r="E39" s="18" t="s">
        <v>192</v>
      </c>
      <c r="F39" s="18" t="s">
        <v>73</v>
      </c>
      <c r="G39" s="18" t="s">
        <v>60</v>
      </c>
      <c r="H39" s="17" t="s">
        <v>16</v>
      </c>
      <c r="I39" s="18" t="s">
        <v>34</v>
      </c>
      <c r="J39" s="18" t="s">
        <v>31</v>
      </c>
      <c r="K39" s="18" t="s">
        <v>36</v>
      </c>
      <c r="L39" s="18" t="s">
        <v>33</v>
      </c>
      <c r="M39" s="18" t="s">
        <v>37</v>
      </c>
      <c r="N39" s="18" t="s">
        <v>24</v>
      </c>
      <c r="O39" s="18" t="s">
        <v>26</v>
      </c>
      <c r="P39" s="18" t="s">
        <v>29</v>
      </c>
      <c r="Q39" s="18" t="s">
        <v>30</v>
      </c>
      <c r="R39" s="18"/>
      <c r="S39" s="18"/>
      <c r="T39" s="8" t="n">
        <f aca="false">COUNTA(H39:S39)</f>
        <v>10</v>
      </c>
    </row>
    <row r="40" customFormat="false" ht="15" hidden="false" customHeight="false" outlineLevel="0" collapsed="false">
      <c r="A40" s="8" t="s">
        <v>134</v>
      </c>
      <c r="B40" s="8" t="s">
        <v>39</v>
      </c>
      <c r="C40" s="8" t="s">
        <v>135</v>
      </c>
      <c r="D40" s="13" t="s">
        <v>48</v>
      </c>
      <c r="E40" s="8" t="s">
        <v>193</v>
      </c>
      <c r="F40" s="8" t="s">
        <v>52</v>
      </c>
      <c r="G40" s="8" t="s">
        <v>82</v>
      </c>
      <c r="H40" s="17" t="s">
        <v>16</v>
      </c>
      <c r="I40" s="8" t="s">
        <v>32</v>
      </c>
      <c r="J40" s="8" t="s">
        <v>34</v>
      </c>
      <c r="K40" s="8" t="s">
        <v>35</v>
      </c>
      <c r="L40" s="8" t="s">
        <v>36</v>
      </c>
      <c r="M40" s="8" t="s">
        <v>33</v>
      </c>
      <c r="N40" s="8" t="s">
        <v>37</v>
      </c>
      <c r="O40" s="8" t="s">
        <v>28</v>
      </c>
      <c r="P40" s="8" t="s">
        <v>24</v>
      </c>
      <c r="Q40" s="8" t="s">
        <v>29</v>
      </c>
      <c r="R40" s="8"/>
      <c r="S40" s="8"/>
      <c r="T40" s="8" t="n">
        <f aca="false">COUNTA(H40:S40)</f>
        <v>10</v>
      </c>
    </row>
    <row r="41" customFormat="false" ht="15" hidden="false" customHeight="false" outlineLevel="0" collapsed="false">
      <c r="A41" s="18" t="s">
        <v>134</v>
      </c>
      <c r="B41" s="18" t="s">
        <v>39</v>
      </c>
      <c r="C41" s="18" t="s">
        <v>136</v>
      </c>
      <c r="D41" s="13" t="s">
        <v>48</v>
      </c>
      <c r="E41" s="18" t="s">
        <v>194</v>
      </c>
      <c r="F41" s="18" t="s">
        <v>49</v>
      </c>
      <c r="G41" s="18" t="s">
        <v>82</v>
      </c>
      <c r="H41" s="17" t="s">
        <v>16</v>
      </c>
      <c r="I41" s="18" t="s">
        <v>32</v>
      </c>
      <c r="J41" s="18" t="s">
        <v>34</v>
      </c>
      <c r="K41" s="18" t="s">
        <v>35</v>
      </c>
      <c r="L41" s="18" t="s">
        <v>36</v>
      </c>
      <c r="M41" s="18" t="s">
        <v>33</v>
      </c>
      <c r="N41" s="18" t="s">
        <v>37</v>
      </c>
      <c r="O41" s="18" t="s">
        <v>28</v>
      </c>
      <c r="P41" s="18" t="s">
        <v>24</v>
      </c>
      <c r="Q41" s="18" t="s">
        <v>29</v>
      </c>
      <c r="R41" s="18"/>
      <c r="S41" s="18"/>
      <c r="T41" s="8" t="n">
        <f aca="false">COUNTA(H41:S41)</f>
        <v>10</v>
      </c>
    </row>
    <row r="42" customFormat="false" ht="15" hidden="false" customHeight="false" outlineLevel="0" collapsed="false">
      <c r="A42" s="8" t="s">
        <v>134</v>
      </c>
      <c r="B42" s="8" t="s">
        <v>39</v>
      </c>
      <c r="C42" s="8" t="s">
        <v>137</v>
      </c>
      <c r="D42" s="6" t="s">
        <v>41</v>
      </c>
      <c r="E42" s="8" t="s">
        <v>195</v>
      </c>
      <c r="F42" s="8" t="s">
        <v>138</v>
      </c>
      <c r="G42" s="8" t="s">
        <v>139</v>
      </c>
      <c r="H42" s="17" t="s">
        <v>14</v>
      </c>
      <c r="I42" s="8" t="s">
        <v>31</v>
      </c>
      <c r="J42" s="8" t="s">
        <v>22</v>
      </c>
      <c r="K42" s="8" t="s">
        <v>23</v>
      </c>
      <c r="L42" s="8" t="s">
        <v>19</v>
      </c>
      <c r="M42" s="8" t="s">
        <v>18</v>
      </c>
      <c r="N42" s="8" t="s">
        <v>21</v>
      </c>
      <c r="O42" s="8" t="s">
        <v>26</v>
      </c>
      <c r="P42" s="8" t="s">
        <v>27</v>
      </c>
      <c r="Q42" s="8" t="s">
        <v>20</v>
      </c>
      <c r="R42" s="8" t="s">
        <v>25</v>
      </c>
      <c r="S42" s="8"/>
      <c r="T42" s="8" t="n">
        <f aca="false">COUNTA(H42:S42)</f>
        <v>11</v>
      </c>
    </row>
  </sheetData>
  <autoFilter ref="A3:T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7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4" customFormat="false" ht="22.35" hidden="false" customHeight="false" outlineLevel="0" collapsed="false">
      <c r="A4" s="4" t="s">
        <v>198</v>
      </c>
      <c r="B4" s="4" t="s">
        <v>7</v>
      </c>
      <c r="C4" s="4" t="s">
        <v>199</v>
      </c>
      <c r="D4" s="4" t="s">
        <v>11</v>
      </c>
      <c r="E4" s="4" t="s">
        <v>12</v>
      </c>
      <c r="F4" s="4" t="s">
        <v>200</v>
      </c>
      <c r="G4" s="4" t="s">
        <v>201</v>
      </c>
      <c r="H4" s="4" t="s">
        <v>202</v>
      </c>
      <c r="I4" s="4" t="s">
        <v>203</v>
      </c>
    </row>
    <row r="5" customFormat="false" ht="15" hidden="false" customHeight="false" outlineLevel="0" collapsed="false">
      <c r="A5" s="8" t="s">
        <v>204</v>
      </c>
      <c r="B5" s="8" t="s">
        <v>38</v>
      </c>
      <c r="C5" s="6" t="s">
        <v>205</v>
      </c>
      <c r="D5" s="8" t="s">
        <v>42</v>
      </c>
      <c r="E5" s="8" t="s">
        <v>43</v>
      </c>
      <c r="F5" s="8" t="s">
        <v>206</v>
      </c>
      <c r="G5" s="8" t="s">
        <v>23</v>
      </c>
      <c r="H5" s="8" t="s">
        <v>207</v>
      </c>
      <c r="I5" s="8"/>
    </row>
    <row r="6" customFormat="false" ht="15" hidden="false" customHeight="false" outlineLevel="0" collapsed="false">
      <c r="A6" s="18" t="s">
        <v>208</v>
      </c>
      <c r="B6" s="18" t="s">
        <v>45</v>
      </c>
      <c r="C6" s="13" t="s">
        <v>209</v>
      </c>
      <c r="D6" s="18" t="s">
        <v>210</v>
      </c>
      <c r="E6" s="18" t="s">
        <v>50</v>
      </c>
      <c r="F6" s="18"/>
      <c r="G6" s="18"/>
      <c r="H6" s="18"/>
      <c r="I6" s="18" t="s">
        <v>211</v>
      </c>
    </row>
    <row r="7" customFormat="false" ht="15" hidden="false" customHeight="false" outlineLevel="0" collapsed="false">
      <c r="A7" s="8" t="s">
        <v>212</v>
      </c>
      <c r="B7" s="8" t="s">
        <v>53</v>
      </c>
      <c r="C7" s="13" t="s">
        <v>209</v>
      </c>
      <c r="D7" s="8" t="s">
        <v>55</v>
      </c>
      <c r="E7" s="8" t="s">
        <v>56</v>
      </c>
      <c r="F7" s="8"/>
      <c r="G7" s="8"/>
      <c r="H7" s="8"/>
      <c r="I7" s="8" t="s">
        <v>213</v>
      </c>
    </row>
    <row r="8" customFormat="false" ht="15" hidden="false" customHeight="false" outlineLevel="0" collapsed="false">
      <c r="A8" s="18" t="s">
        <v>214</v>
      </c>
      <c r="B8" s="18" t="s">
        <v>57</v>
      </c>
      <c r="C8" s="6" t="s">
        <v>205</v>
      </c>
      <c r="D8" s="18" t="s">
        <v>59</v>
      </c>
      <c r="E8" s="18" t="s">
        <v>60</v>
      </c>
      <c r="F8" s="18" t="s">
        <v>215</v>
      </c>
      <c r="G8" s="18" t="s">
        <v>14</v>
      </c>
      <c r="H8" s="18" t="s">
        <v>216</v>
      </c>
      <c r="I8" s="18"/>
    </row>
    <row r="9" customFormat="false" ht="15" hidden="false" customHeight="false" outlineLevel="0" collapsed="false">
      <c r="A9" s="8" t="s">
        <v>217</v>
      </c>
      <c r="B9" s="8" t="s">
        <v>61</v>
      </c>
      <c r="C9" s="13" t="s">
        <v>209</v>
      </c>
      <c r="D9" s="8" t="s">
        <v>218</v>
      </c>
      <c r="E9" s="8" t="s">
        <v>64</v>
      </c>
      <c r="F9" s="8"/>
      <c r="G9" s="8"/>
      <c r="H9" s="8"/>
      <c r="I9" s="8" t="s">
        <v>219</v>
      </c>
    </row>
    <row r="10" customFormat="false" ht="15" hidden="false" customHeight="false" outlineLevel="0" collapsed="false">
      <c r="A10" s="18" t="s">
        <v>220</v>
      </c>
      <c r="B10" s="18" t="s">
        <v>67</v>
      </c>
      <c r="C10" s="13" t="s">
        <v>209</v>
      </c>
      <c r="D10" s="18" t="s">
        <v>69</v>
      </c>
      <c r="E10" s="18" t="s">
        <v>70</v>
      </c>
      <c r="F10" s="18"/>
      <c r="G10" s="18"/>
      <c r="H10" s="18"/>
      <c r="I10" s="18" t="s">
        <v>221</v>
      </c>
    </row>
    <row r="11" customFormat="false" ht="15" hidden="false" customHeight="false" outlineLevel="0" collapsed="false">
      <c r="A11" s="8" t="s">
        <v>222</v>
      </c>
      <c r="B11" s="8" t="s">
        <v>71</v>
      </c>
      <c r="C11" s="6" t="s">
        <v>205</v>
      </c>
      <c r="D11" s="8" t="s">
        <v>73</v>
      </c>
      <c r="E11" s="8" t="s">
        <v>43</v>
      </c>
      <c r="F11" s="8" t="s">
        <v>223</v>
      </c>
      <c r="G11" s="8" t="s">
        <v>16</v>
      </c>
      <c r="H11" s="8" t="s">
        <v>224</v>
      </c>
      <c r="I11" s="8"/>
    </row>
    <row r="12" customFormat="false" ht="15" hidden="false" customHeight="false" outlineLevel="0" collapsed="false">
      <c r="A12" s="18" t="s">
        <v>225</v>
      </c>
      <c r="B12" s="18" t="s">
        <v>74</v>
      </c>
      <c r="C12" s="13" t="s">
        <v>209</v>
      </c>
      <c r="D12" s="18" t="s">
        <v>75</v>
      </c>
      <c r="E12" s="18" t="s">
        <v>76</v>
      </c>
      <c r="F12" s="18"/>
      <c r="G12" s="18"/>
      <c r="H12" s="18"/>
      <c r="I12" s="18" t="s">
        <v>226</v>
      </c>
    </row>
    <row r="13" customFormat="false" ht="15" hidden="false" customHeight="false" outlineLevel="0" collapsed="false">
      <c r="A13" s="8" t="s">
        <v>227</v>
      </c>
      <c r="B13" s="8" t="s">
        <v>77</v>
      </c>
      <c r="C13" s="6" t="s">
        <v>205</v>
      </c>
      <c r="D13" s="8" t="s">
        <v>79</v>
      </c>
      <c r="E13" s="8" t="s">
        <v>80</v>
      </c>
      <c r="F13" s="8" t="s">
        <v>228</v>
      </c>
      <c r="G13" s="8" t="s">
        <v>20</v>
      </c>
      <c r="H13" s="8" t="s">
        <v>229</v>
      </c>
      <c r="I13" s="8"/>
    </row>
    <row r="14" customFormat="false" ht="15" hidden="false" customHeight="false" outlineLevel="0" collapsed="false">
      <c r="A14" s="18" t="s">
        <v>230</v>
      </c>
      <c r="B14" s="18" t="s">
        <v>77</v>
      </c>
      <c r="C14" s="13" t="s">
        <v>209</v>
      </c>
      <c r="D14" s="18" t="s">
        <v>231</v>
      </c>
      <c r="E14" s="18" t="s">
        <v>82</v>
      </c>
      <c r="F14" s="18"/>
      <c r="G14" s="18"/>
      <c r="H14" s="18"/>
      <c r="I14" s="18" t="s">
        <v>232</v>
      </c>
    </row>
    <row r="15" customFormat="false" ht="15" hidden="false" customHeight="false" outlineLevel="0" collapsed="false">
      <c r="A15" s="8" t="s">
        <v>233</v>
      </c>
      <c r="B15" s="8" t="s">
        <v>84</v>
      </c>
      <c r="C15" s="13" t="s">
        <v>209</v>
      </c>
      <c r="D15" s="8" t="s">
        <v>86</v>
      </c>
      <c r="E15" s="8" t="s">
        <v>87</v>
      </c>
      <c r="F15" s="8"/>
      <c r="G15" s="8"/>
      <c r="H15" s="8"/>
      <c r="I15" s="8" t="s">
        <v>234</v>
      </c>
    </row>
    <row r="16" customFormat="false" ht="15" hidden="false" customHeight="false" outlineLevel="0" collapsed="false">
      <c r="A16" s="18" t="s">
        <v>235</v>
      </c>
      <c r="B16" s="18" t="s">
        <v>88</v>
      </c>
      <c r="C16" s="6" t="s">
        <v>205</v>
      </c>
      <c r="D16" s="18" t="s">
        <v>236</v>
      </c>
      <c r="E16" s="18" t="s">
        <v>80</v>
      </c>
      <c r="F16" s="18" t="s">
        <v>237</v>
      </c>
      <c r="G16" s="18" t="s">
        <v>35</v>
      </c>
      <c r="H16" s="18" t="s">
        <v>238</v>
      </c>
      <c r="I16" s="18"/>
    </row>
    <row r="17" customFormat="false" ht="15" hidden="false" customHeight="false" outlineLevel="0" collapsed="false">
      <c r="A17" s="8" t="s">
        <v>239</v>
      </c>
      <c r="B17" s="8" t="s">
        <v>88</v>
      </c>
      <c r="C17" s="6" t="s">
        <v>205</v>
      </c>
      <c r="D17" s="8" t="s">
        <v>93</v>
      </c>
      <c r="E17" s="8" t="s">
        <v>80</v>
      </c>
      <c r="F17" s="8" t="s">
        <v>240</v>
      </c>
      <c r="G17" s="8" t="s">
        <v>20</v>
      </c>
      <c r="H17" s="8" t="s">
        <v>241</v>
      </c>
      <c r="I17" s="8"/>
    </row>
    <row r="18" customFormat="false" ht="15" hidden="false" customHeight="false" outlineLevel="0" collapsed="false">
      <c r="A18" s="18" t="s">
        <v>242</v>
      </c>
      <c r="B18" s="18" t="s">
        <v>94</v>
      </c>
      <c r="C18" s="13" t="s">
        <v>209</v>
      </c>
      <c r="D18" s="18" t="s">
        <v>243</v>
      </c>
      <c r="E18" s="18" t="s">
        <v>97</v>
      </c>
      <c r="F18" s="18"/>
      <c r="G18" s="18"/>
      <c r="H18" s="18"/>
      <c r="I18" s="18" t="s">
        <v>244</v>
      </c>
    </row>
    <row r="19" customFormat="false" ht="15" hidden="false" customHeight="false" outlineLevel="0" collapsed="false">
      <c r="A19" s="8" t="s">
        <v>245</v>
      </c>
      <c r="B19" s="8" t="s">
        <v>94</v>
      </c>
      <c r="C19" s="13" t="s">
        <v>209</v>
      </c>
      <c r="D19" s="8" t="s">
        <v>99</v>
      </c>
      <c r="E19" s="8" t="s">
        <v>100</v>
      </c>
      <c r="F19" s="8"/>
      <c r="G19" s="8"/>
      <c r="H19" s="8"/>
      <c r="I19" s="8" t="s">
        <v>246</v>
      </c>
    </row>
    <row r="20" customFormat="false" ht="15" hidden="false" customHeight="false" outlineLevel="0" collapsed="false">
      <c r="A20" s="18" t="s">
        <v>247</v>
      </c>
      <c r="B20" s="18" t="s">
        <v>101</v>
      </c>
      <c r="C20" s="6" t="s">
        <v>205</v>
      </c>
      <c r="D20" s="18" t="s">
        <v>103</v>
      </c>
      <c r="E20" s="18" t="s">
        <v>43</v>
      </c>
      <c r="F20" s="18" t="s">
        <v>248</v>
      </c>
      <c r="G20" s="18" t="s">
        <v>22</v>
      </c>
      <c r="H20" s="18" t="s">
        <v>249</v>
      </c>
      <c r="I20" s="18"/>
    </row>
    <row r="21" customFormat="false" ht="15" hidden="false" customHeight="false" outlineLevel="0" collapsed="false">
      <c r="A21" s="8" t="s">
        <v>250</v>
      </c>
      <c r="B21" s="8" t="s">
        <v>101</v>
      </c>
      <c r="C21" s="13" t="s">
        <v>209</v>
      </c>
      <c r="D21" s="8" t="s">
        <v>105</v>
      </c>
      <c r="E21" s="8" t="s">
        <v>106</v>
      </c>
      <c r="F21" s="8"/>
      <c r="G21" s="8"/>
      <c r="H21" s="8"/>
      <c r="I21" s="8" t="s">
        <v>251</v>
      </c>
    </row>
    <row r="22" customFormat="false" ht="15" hidden="false" customHeight="false" outlineLevel="0" collapsed="false">
      <c r="A22" s="18" t="s">
        <v>252</v>
      </c>
      <c r="B22" s="18" t="s">
        <v>107</v>
      </c>
      <c r="C22" s="13" t="s">
        <v>209</v>
      </c>
      <c r="D22" s="18" t="s">
        <v>109</v>
      </c>
      <c r="E22" s="18" t="s">
        <v>110</v>
      </c>
      <c r="F22" s="18"/>
      <c r="G22" s="18"/>
      <c r="H22" s="18"/>
      <c r="I22" s="18" t="s">
        <v>253</v>
      </c>
    </row>
    <row r="23" customFormat="false" ht="15" hidden="false" customHeight="false" outlineLevel="0" collapsed="false">
      <c r="A23" s="8" t="s">
        <v>254</v>
      </c>
      <c r="B23" s="8" t="s">
        <v>111</v>
      </c>
      <c r="C23" s="6" t="s">
        <v>205</v>
      </c>
      <c r="D23" s="8" t="s">
        <v>112</v>
      </c>
      <c r="E23" s="8" t="s">
        <v>43</v>
      </c>
      <c r="F23" s="8" t="s">
        <v>255</v>
      </c>
      <c r="G23" s="8" t="s">
        <v>30</v>
      </c>
      <c r="H23" s="8" t="s">
        <v>256</v>
      </c>
      <c r="I23" s="8"/>
    </row>
    <row r="24" customFormat="false" ht="15" hidden="false" customHeight="false" outlineLevel="0" collapsed="false">
      <c r="A24" s="18" t="s">
        <v>257</v>
      </c>
      <c r="B24" s="18" t="s">
        <v>113</v>
      </c>
      <c r="C24" s="6" t="s">
        <v>205</v>
      </c>
      <c r="D24" s="18" t="s">
        <v>258</v>
      </c>
      <c r="E24" s="18" t="s">
        <v>43</v>
      </c>
      <c r="F24" s="18" t="s">
        <v>259</v>
      </c>
      <c r="G24" s="18" t="s">
        <v>31</v>
      </c>
      <c r="H24" s="18" t="s">
        <v>260</v>
      </c>
      <c r="I24" s="18"/>
    </row>
    <row r="25" customFormat="false" ht="15" hidden="false" customHeight="false" outlineLevel="0" collapsed="false">
      <c r="A25" s="8" t="s">
        <v>261</v>
      </c>
      <c r="B25" s="8" t="s">
        <v>116</v>
      </c>
      <c r="C25" s="13" t="s">
        <v>209</v>
      </c>
      <c r="D25" s="8" t="s">
        <v>117</v>
      </c>
      <c r="E25" s="8" t="s">
        <v>118</v>
      </c>
      <c r="F25" s="8"/>
      <c r="G25" s="8"/>
      <c r="H25" s="8"/>
      <c r="I25" s="8" t="s">
        <v>262</v>
      </c>
    </row>
    <row r="26" customFormat="false" ht="15" hidden="false" customHeight="false" outlineLevel="0" collapsed="false">
      <c r="A26" s="18" t="s">
        <v>263</v>
      </c>
      <c r="B26" s="18" t="s">
        <v>119</v>
      </c>
      <c r="C26" s="6" t="s">
        <v>205</v>
      </c>
      <c r="D26" s="18" t="s">
        <v>120</v>
      </c>
      <c r="E26" s="18" t="s">
        <v>43</v>
      </c>
      <c r="F26" s="18" t="s">
        <v>216</v>
      </c>
      <c r="G26" s="18" t="s">
        <v>21</v>
      </c>
      <c r="H26" s="18" t="s">
        <v>264</v>
      </c>
      <c r="I26" s="18"/>
    </row>
    <row r="27" customFormat="false" ht="15" hidden="false" customHeight="false" outlineLevel="0" collapsed="false">
      <c r="A27" s="8" t="s">
        <v>265</v>
      </c>
      <c r="B27" s="8" t="s">
        <v>121</v>
      </c>
      <c r="C27" s="13" t="s">
        <v>209</v>
      </c>
      <c r="D27" s="8" t="s">
        <v>266</v>
      </c>
      <c r="E27" s="8" t="s">
        <v>124</v>
      </c>
      <c r="F27" s="8"/>
      <c r="G27" s="8"/>
      <c r="H27" s="8"/>
      <c r="I27" s="8" t="s">
        <v>267</v>
      </c>
    </row>
    <row r="28" customFormat="false" ht="15" hidden="false" customHeight="false" outlineLevel="0" collapsed="false">
      <c r="A28" s="18" t="s">
        <v>268</v>
      </c>
      <c r="B28" s="18" t="s">
        <v>126</v>
      </c>
      <c r="C28" s="6" t="s">
        <v>205</v>
      </c>
      <c r="D28" s="18" t="s">
        <v>127</v>
      </c>
      <c r="E28" s="18" t="s">
        <v>43</v>
      </c>
      <c r="F28" s="18" t="s">
        <v>248</v>
      </c>
      <c r="G28" s="18" t="s">
        <v>25</v>
      </c>
      <c r="H28" s="18" t="s">
        <v>269</v>
      </c>
      <c r="I28" s="18"/>
    </row>
    <row r="29" customFormat="false" ht="15" hidden="false" customHeight="false" outlineLevel="0" collapsed="false">
      <c r="A29" s="8" t="s">
        <v>270</v>
      </c>
      <c r="B29" s="8" t="s">
        <v>128</v>
      </c>
      <c r="C29" s="13" t="s">
        <v>209</v>
      </c>
      <c r="D29" s="8" t="s">
        <v>218</v>
      </c>
      <c r="E29" s="8" t="s">
        <v>64</v>
      </c>
      <c r="F29" s="8"/>
      <c r="G29" s="8"/>
      <c r="H29" s="8"/>
      <c r="I29" s="8" t="s">
        <v>271</v>
      </c>
    </row>
    <row r="30" customFormat="false" ht="15" hidden="false" customHeight="false" outlineLevel="0" collapsed="false">
      <c r="A30" s="18" t="s">
        <v>272</v>
      </c>
      <c r="B30" s="18" t="s">
        <v>129</v>
      </c>
      <c r="C30" s="13" t="s">
        <v>209</v>
      </c>
      <c r="D30" s="18" t="s">
        <v>130</v>
      </c>
      <c r="E30" s="18" t="s">
        <v>131</v>
      </c>
      <c r="F30" s="18"/>
      <c r="G30" s="18"/>
      <c r="H30" s="18"/>
      <c r="I30" s="18" t="s">
        <v>273</v>
      </c>
    </row>
    <row r="31" customFormat="false" ht="15" hidden="false" customHeight="false" outlineLevel="0" collapsed="false">
      <c r="A31" s="8" t="s">
        <v>274</v>
      </c>
      <c r="B31" s="8" t="s">
        <v>132</v>
      </c>
      <c r="C31" s="6" t="s">
        <v>205</v>
      </c>
      <c r="D31" s="8" t="s">
        <v>133</v>
      </c>
      <c r="E31" s="8" t="s">
        <v>60</v>
      </c>
      <c r="F31" s="8" t="s">
        <v>275</v>
      </c>
      <c r="G31" s="8" t="s">
        <v>28</v>
      </c>
      <c r="H31" s="8" t="s">
        <v>276</v>
      </c>
      <c r="I31" s="8"/>
    </row>
    <row r="32" customFormat="false" ht="15" hidden="false" customHeight="false" outlineLevel="0" collapsed="false">
      <c r="A32" s="18" t="s">
        <v>277</v>
      </c>
      <c r="B32" s="18" t="s">
        <v>132</v>
      </c>
      <c r="C32" s="6" t="s">
        <v>205</v>
      </c>
      <c r="D32" s="18" t="s">
        <v>73</v>
      </c>
      <c r="E32" s="18" t="s">
        <v>60</v>
      </c>
      <c r="F32" s="18" t="s">
        <v>237</v>
      </c>
      <c r="G32" s="18" t="s">
        <v>36</v>
      </c>
      <c r="H32" s="18" t="s">
        <v>278</v>
      </c>
      <c r="I32" s="18"/>
    </row>
    <row r="33" customFormat="false" ht="15" hidden="false" customHeight="false" outlineLevel="0" collapsed="false">
      <c r="A33" s="8" t="s">
        <v>279</v>
      </c>
      <c r="B33" s="8" t="s">
        <v>134</v>
      </c>
      <c r="C33" s="13" t="s">
        <v>209</v>
      </c>
      <c r="D33" s="8" t="s">
        <v>231</v>
      </c>
      <c r="E33" s="8" t="s">
        <v>82</v>
      </c>
      <c r="F33" s="8"/>
      <c r="G33" s="8"/>
      <c r="H33" s="8"/>
      <c r="I33" s="8" t="s">
        <v>271</v>
      </c>
    </row>
    <row r="34" customFormat="false" ht="15" hidden="false" customHeight="false" outlineLevel="0" collapsed="false">
      <c r="A34" s="18" t="s">
        <v>280</v>
      </c>
      <c r="B34" s="18" t="s">
        <v>134</v>
      </c>
      <c r="C34" s="13" t="s">
        <v>209</v>
      </c>
      <c r="D34" s="18" t="s">
        <v>138</v>
      </c>
      <c r="E34" s="18" t="s">
        <v>139</v>
      </c>
      <c r="F34" s="18"/>
      <c r="G34" s="18"/>
      <c r="H34" s="18"/>
      <c r="I34" s="18" t="s">
        <v>281</v>
      </c>
    </row>
  </sheetData>
  <autoFilter ref="A4:I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282</v>
      </c>
    </row>
    <row r="3" customFormat="false" ht="22.35" hidden="false" customHeight="false" outlineLevel="0" collapsed="false">
      <c r="A3" s="4" t="s">
        <v>283</v>
      </c>
      <c r="B3" s="4" t="s">
        <v>284</v>
      </c>
      <c r="C3" s="4" t="s">
        <v>285</v>
      </c>
      <c r="D3" s="4" t="s">
        <v>286</v>
      </c>
      <c r="E3" s="4" t="s">
        <v>140</v>
      </c>
      <c r="F3" s="4" t="s">
        <v>141</v>
      </c>
      <c r="G3" s="4" t="s">
        <v>142</v>
      </c>
      <c r="H3" s="4" t="s">
        <v>287</v>
      </c>
      <c r="I3" s="4" t="s">
        <v>288</v>
      </c>
      <c r="J3" s="4" t="s">
        <v>289</v>
      </c>
      <c r="K3" s="4" t="s">
        <v>290</v>
      </c>
      <c r="L3" s="4" t="s">
        <v>291</v>
      </c>
    </row>
    <row r="4" customFormat="false" ht="15" hidden="false" customHeight="false" outlineLevel="0" collapsed="false">
      <c r="A4" s="19" t="s">
        <v>14</v>
      </c>
      <c r="B4" s="19" t="s">
        <v>2</v>
      </c>
      <c r="C4" s="20" t="n">
        <v>1</v>
      </c>
      <c r="D4" s="20" t="s">
        <v>292</v>
      </c>
      <c r="E4" s="20" t="n">
        <f aca="false">Schema!H46</f>
        <v>10</v>
      </c>
      <c r="F4" s="20" t="n">
        <f aca="false">Schema!H47</f>
        <v>0</v>
      </c>
      <c r="G4" s="20" t="n">
        <f aca="false">E4+F4</f>
        <v>10</v>
      </c>
      <c r="H4" s="20" t="n">
        <v>0</v>
      </c>
      <c r="I4" s="20" t="n">
        <v>18</v>
      </c>
      <c r="J4" s="21" t="n">
        <f aca="false">IF(I4=0,"",G4/I4)</f>
        <v>0.555555555555556</v>
      </c>
      <c r="K4" s="20"/>
      <c r="L4" s="20" t="n">
        <v>7</v>
      </c>
    </row>
    <row r="5" customFormat="false" ht="15" hidden="false" customHeight="false" outlineLevel="0" collapsed="false">
      <c r="A5" s="22" t="s">
        <v>15</v>
      </c>
      <c r="B5" s="22" t="s">
        <v>2</v>
      </c>
      <c r="C5" s="23" t="n">
        <v>2</v>
      </c>
      <c r="D5" s="23" t="s">
        <v>293</v>
      </c>
      <c r="E5" s="23" t="n">
        <f aca="false">Schema!I46</f>
        <v>8</v>
      </c>
      <c r="F5" s="23" t="n">
        <f aca="false">Schema!I47</f>
        <v>2</v>
      </c>
      <c r="G5" s="23" t="n">
        <f aca="false">E5+F5</f>
        <v>10</v>
      </c>
      <c r="H5" s="23" t="n">
        <v>0</v>
      </c>
      <c r="I5" s="23" t="n">
        <v>39</v>
      </c>
      <c r="J5" s="24" t="n">
        <f aca="false">IF(I5=0,"",G5/I5)</f>
        <v>0.256410256410256</v>
      </c>
      <c r="K5" s="23"/>
      <c r="L5" s="23" t="n">
        <v>7</v>
      </c>
    </row>
    <row r="6" customFormat="false" ht="15" hidden="false" customHeight="false" outlineLevel="0" collapsed="false">
      <c r="A6" s="19" t="s">
        <v>16</v>
      </c>
      <c r="B6" s="19" t="s">
        <v>2</v>
      </c>
      <c r="C6" s="20" t="n">
        <v>3.75</v>
      </c>
      <c r="D6" s="20" t="s">
        <v>294</v>
      </c>
      <c r="E6" s="20" t="n">
        <f aca="false">Schema!J46</f>
        <v>0</v>
      </c>
      <c r="F6" s="20" t="n">
        <f aca="false">Schema!J47</f>
        <v>10</v>
      </c>
      <c r="G6" s="20" t="n">
        <f aca="false">E6+F6</f>
        <v>10</v>
      </c>
      <c r="H6" s="20" t="n">
        <v>0</v>
      </c>
      <c r="I6" s="20" t="n">
        <v>21</v>
      </c>
      <c r="J6" s="21" t="n">
        <f aca="false">IF(I6=0,"",G6/I6)</f>
        <v>0.476190476190476</v>
      </c>
      <c r="K6" s="20"/>
      <c r="L6" s="20" t="n">
        <v>6</v>
      </c>
    </row>
    <row r="7" customFormat="false" ht="15" hidden="false" customHeight="false" outlineLevel="0" collapsed="false">
      <c r="A7" s="22" t="s">
        <v>17</v>
      </c>
      <c r="B7" s="22" t="s">
        <v>2</v>
      </c>
      <c r="C7" s="23" t="n">
        <v>4</v>
      </c>
      <c r="D7" s="23" t="s">
        <v>294</v>
      </c>
      <c r="E7" s="23" t="n">
        <f aca="false">Schema!K46</f>
        <v>0</v>
      </c>
      <c r="F7" s="23" t="n">
        <f aca="false">Schema!K47</f>
        <v>9</v>
      </c>
      <c r="G7" s="23" t="n">
        <f aca="false">E7+F7</f>
        <v>9</v>
      </c>
      <c r="H7" s="23" t="n">
        <v>0</v>
      </c>
      <c r="I7" s="23" t="n">
        <v>21</v>
      </c>
      <c r="J7" s="24" t="n">
        <f aca="false">IF(I7=0,"",G7/I7)</f>
        <v>0.428571428571429</v>
      </c>
      <c r="K7" s="23"/>
      <c r="L7" s="23" t="n">
        <v>5</v>
      </c>
    </row>
    <row r="8" customFormat="false" ht="15" hidden="false" customHeight="false" outlineLevel="0" collapsed="false">
      <c r="A8" s="19" t="s">
        <v>18</v>
      </c>
      <c r="B8" s="19" t="s">
        <v>3</v>
      </c>
      <c r="C8" s="20" t="n">
        <v>1</v>
      </c>
      <c r="D8" s="20" t="s">
        <v>292</v>
      </c>
      <c r="E8" s="20" t="n">
        <f aca="false">Schema!L46</f>
        <v>18</v>
      </c>
      <c r="F8" s="20" t="n">
        <f aca="false">Schema!L47</f>
        <v>0</v>
      </c>
      <c r="G8" s="20" t="n">
        <f aca="false">E8+F8</f>
        <v>18</v>
      </c>
      <c r="H8" s="20" t="n">
        <v>0</v>
      </c>
      <c r="I8" s="20" t="n">
        <v>18</v>
      </c>
      <c r="J8" s="21" t="n">
        <f aca="false">IF(I8=0,"",G8/I8)</f>
        <v>1</v>
      </c>
      <c r="K8" s="20" t="s">
        <v>295</v>
      </c>
      <c r="L8" s="20"/>
    </row>
    <row r="9" customFormat="false" ht="15" hidden="false" customHeight="false" outlineLevel="0" collapsed="false">
      <c r="A9" s="22" t="s">
        <v>19</v>
      </c>
      <c r="B9" s="22" t="s">
        <v>3</v>
      </c>
      <c r="C9" s="23" t="n">
        <v>1.25</v>
      </c>
      <c r="D9" s="23" t="s">
        <v>292</v>
      </c>
      <c r="E9" s="23" t="n">
        <f aca="false">Schema!M46</f>
        <v>18</v>
      </c>
      <c r="F9" s="23" t="n">
        <f aca="false">Schema!M47</f>
        <v>0</v>
      </c>
      <c r="G9" s="23" t="n">
        <f aca="false">E9+F9</f>
        <v>18</v>
      </c>
      <c r="H9" s="23" t="n">
        <v>0</v>
      </c>
      <c r="I9" s="23" t="n">
        <v>18</v>
      </c>
      <c r="J9" s="24" t="n">
        <f aca="false">IF(I9=0,"",G9/I9)</f>
        <v>1</v>
      </c>
      <c r="K9" s="23" t="s">
        <v>296</v>
      </c>
      <c r="L9" s="23"/>
    </row>
    <row r="10" customFormat="false" ht="15" hidden="false" customHeight="false" outlineLevel="0" collapsed="false">
      <c r="A10" s="19" t="s">
        <v>20</v>
      </c>
      <c r="B10" s="19" t="s">
        <v>4</v>
      </c>
      <c r="C10" s="20" t="n">
        <v>1.5</v>
      </c>
      <c r="D10" s="20" t="s">
        <v>293</v>
      </c>
      <c r="E10" s="20" t="n">
        <f aca="false">Schema!N46</f>
        <v>17</v>
      </c>
      <c r="F10" s="20" t="n">
        <f aca="false">Schema!N47</f>
        <v>3</v>
      </c>
      <c r="G10" s="20" t="n">
        <f aca="false">E10+F10</f>
        <v>20</v>
      </c>
      <c r="H10" s="20" t="n">
        <v>0</v>
      </c>
      <c r="I10" s="20" t="n">
        <v>39</v>
      </c>
      <c r="J10" s="21" t="n">
        <f aca="false">IF(I10=0,"",G10/I10)</f>
        <v>0.512820512820513</v>
      </c>
      <c r="K10" s="20"/>
      <c r="L10" s="20" t="n">
        <v>6</v>
      </c>
    </row>
    <row r="11" customFormat="false" ht="15" hidden="false" customHeight="false" outlineLevel="0" collapsed="false">
      <c r="A11" s="22" t="s">
        <v>21</v>
      </c>
      <c r="B11" s="22" t="s">
        <v>3</v>
      </c>
      <c r="C11" s="23" t="n">
        <v>1.5</v>
      </c>
      <c r="D11" s="23" t="s">
        <v>293</v>
      </c>
      <c r="E11" s="23" t="n">
        <f aca="false">Schema!O46</f>
        <v>12</v>
      </c>
      <c r="F11" s="23" t="n">
        <f aca="false">Schema!O47</f>
        <v>8</v>
      </c>
      <c r="G11" s="23" t="n">
        <f aca="false">E11+F11</f>
        <v>20</v>
      </c>
      <c r="H11" s="23" t="n">
        <v>0</v>
      </c>
      <c r="I11" s="23" t="n">
        <v>39</v>
      </c>
      <c r="J11" s="24" t="n">
        <f aca="false">IF(I11=0,"",G11/I11)</f>
        <v>0.512820512820513</v>
      </c>
      <c r="K11" s="23"/>
      <c r="L11" s="23" t="n">
        <v>7</v>
      </c>
    </row>
    <row r="12" customFormat="false" ht="15" hidden="false" customHeight="false" outlineLevel="0" collapsed="false">
      <c r="A12" s="19" t="s">
        <v>22</v>
      </c>
      <c r="B12" s="19" t="s">
        <v>5</v>
      </c>
      <c r="C12" s="20" t="n">
        <v>1.5</v>
      </c>
      <c r="D12" s="20" t="s">
        <v>293</v>
      </c>
      <c r="E12" s="20" t="n">
        <f aca="false">Schema!P46</f>
        <v>17</v>
      </c>
      <c r="F12" s="20" t="n">
        <f aca="false">Schema!P47</f>
        <v>3</v>
      </c>
      <c r="G12" s="20" t="n">
        <f aca="false">E12+F12</f>
        <v>20</v>
      </c>
      <c r="H12" s="20" t="n">
        <v>0</v>
      </c>
      <c r="I12" s="20" t="n">
        <v>39</v>
      </c>
      <c r="J12" s="21" t="n">
        <f aca="false">IF(I12=0,"",G12/I12)</f>
        <v>0.512820512820513</v>
      </c>
      <c r="K12" s="20"/>
      <c r="L12" s="20" t="n">
        <v>7</v>
      </c>
    </row>
    <row r="13" customFormat="false" ht="15" hidden="false" customHeight="false" outlineLevel="0" collapsed="false">
      <c r="A13" s="22" t="s">
        <v>23</v>
      </c>
      <c r="B13" s="22" t="s">
        <v>6</v>
      </c>
      <c r="C13" s="23" t="n">
        <v>1.75</v>
      </c>
      <c r="D13" s="23" t="s">
        <v>293</v>
      </c>
      <c r="E13" s="23" t="n">
        <f aca="false">Schema!Q46</f>
        <v>17</v>
      </c>
      <c r="F13" s="23" t="n">
        <f aca="false">Schema!Q47</f>
        <v>2</v>
      </c>
      <c r="G13" s="23" t="n">
        <f aca="false">E13+F13</f>
        <v>19</v>
      </c>
      <c r="H13" s="23" t="n">
        <v>0</v>
      </c>
      <c r="I13" s="23" t="n">
        <v>39</v>
      </c>
      <c r="J13" s="24" t="n">
        <f aca="false">IF(I13=0,"",G13/I13)</f>
        <v>0.487179487179487</v>
      </c>
      <c r="K13" s="23"/>
      <c r="L13" s="23" t="n">
        <v>7</v>
      </c>
    </row>
    <row r="14" customFormat="false" ht="15" hidden="false" customHeight="false" outlineLevel="0" collapsed="false">
      <c r="A14" s="19" t="s">
        <v>24</v>
      </c>
      <c r="B14" s="19" t="s">
        <v>3</v>
      </c>
      <c r="C14" s="20" t="n">
        <v>2</v>
      </c>
      <c r="D14" s="20" t="s">
        <v>293</v>
      </c>
      <c r="E14" s="20" t="n">
        <f aca="false">Schema!R46</f>
        <v>11</v>
      </c>
      <c r="F14" s="20" t="n">
        <f aca="false">Schema!R47</f>
        <v>8</v>
      </c>
      <c r="G14" s="20" t="n">
        <f aca="false">E14+F14</f>
        <v>19</v>
      </c>
      <c r="H14" s="20" t="n">
        <v>0</v>
      </c>
      <c r="I14" s="20" t="n">
        <v>39</v>
      </c>
      <c r="J14" s="21" t="n">
        <f aca="false">IF(I14=0,"",G14/I14)</f>
        <v>0.487179487179487</v>
      </c>
      <c r="K14" s="20" t="s">
        <v>297</v>
      </c>
      <c r="L14" s="20"/>
    </row>
    <row r="15" customFormat="false" ht="15" hidden="false" customHeight="false" outlineLevel="0" collapsed="false">
      <c r="A15" s="22" t="s">
        <v>25</v>
      </c>
      <c r="B15" s="22" t="s">
        <v>4</v>
      </c>
      <c r="C15" s="23" t="n">
        <v>2</v>
      </c>
      <c r="D15" s="23" t="s">
        <v>293</v>
      </c>
      <c r="E15" s="23" t="n">
        <f aca="false">Schema!S46</f>
        <v>18</v>
      </c>
      <c r="F15" s="23" t="n">
        <f aca="false">Schema!S47</f>
        <v>2</v>
      </c>
      <c r="G15" s="23" t="n">
        <f aca="false">E15+F15</f>
        <v>20</v>
      </c>
      <c r="H15" s="23" t="n">
        <v>0</v>
      </c>
      <c r="I15" s="23" t="n">
        <v>39</v>
      </c>
      <c r="J15" s="24" t="n">
        <f aca="false">IF(I15=0,"",G15/I15)</f>
        <v>0.512820512820513</v>
      </c>
      <c r="K15" s="23"/>
      <c r="L15" s="23" t="n">
        <v>6</v>
      </c>
    </row>
    <row r="16" customFormat="false" ht="15" hidden="false" customHeight="false" outlineLevel="0" collapsed="false">
      <c r="A16" s="19" t="s">
        <v>26</v>
      </c>
      <c r="B16" s="19" t="s">
        <v>3</v>
      </c>
      <c r="C16" s="20" t="n">
        <v>2</v>
      </c>
      <c r="D16" s="20" t="s">
        <v>293</v>
      </c>
      <c r="E16" s="20" t="n">
        <f aca="false">Schema!T46</f>
        <v>15</v>
      </c>
      <c r="F16" s="20" t="n">
        <f aca="false">Schema!T47</f>
        <v>5</v>
      </c>
      <c r="G16" s="20" t="n">
        <f aca="false">E16+F16</f>
        <v>20</v>
      </c>
      <c r="H16" s="20" t="n">
        <v>0</v>
      </c>
      <c r="I16" s="20" t="n">
        <v>39</v>
      </c>
      <c r="J16" s="21" t="n">
        <f aca="false">IF(I16=0,"",G16/I16)</f>
        <v>0.512820512820513</v>
      </c>
      <c r="K16" s="20" t="s">
        <v>298</v>
      </c>
      <c r="L16" s="20"/>
    </row>
    <row r="17" customFormat="false" ht="15" hidden="false" customHeight="false" outlineLevel="0" collapsed="false">
      <c r="A17" s="22" t="s">
        <v>27</v>
      </c>
      <c r="B17" s="22" t="s">
        <v>3</v>
      </c>
      <c r="C17" s="23" t="n">
        <v>2</v>
      </c>
      <c r="D17" s="23" t="s">
        <v>293</v>
      </c>
      <c r="E17" s="23" t="n">
        <f aca="false">Schema!U46</f>
        <v>12</v>
      </c>
      <c r="F17" s="23" t="n">
        <f aca="false">Schema!U47</f>
        <v>7</v>
      </c>
      <c r="G17" s="23" t="n">
        <f aca="false">E17+F17</f>
        <v>19</v>
      </c>
      <c r="H17" s="23" t="n">
        <v>0</v>
      </c>
      <c r="I17" s="23" t="n">
        <v>39</v>
      </c>
      <c r="J17" s="24" t="n">
        <f aca="false">IF(I17=0,"",G17/I17)</f>
        <v>0.487179487179487</v>
      </c>
      <c r="K17" s="23" t="s">
        <v>299</v>
      </c>
      <c r="L17" s="23"/>
    </row>
    <row r="18" customFormat="false" ht="15" hidden="false" customHeight="false" outlineLevel="0" collapsed="false">
      <c r="A18" s="19" t="s">
        <v>28</v>
      </c>
      <c r="B18" s="19" t="s">
        <v>3</v>
      </c>
      <c r="C18" s="20" t="n">
        <v>2.5</v>
      </c>
      <c r="D18" s="20" t="s">
        <v>300</v>
      </c>
      <c r="E18" s="20" t="n">
        <f aca="false">Schema!V46</f>
        <v>5</v>
      </c>
      <c r="F18" s="20" t="n">
        <f aca="false">Schema!V47</f>
        <v>14</v>
      </c>
      <c r="G18" s="20" t="n">
        <f aca="false">E18+F18</f>
        <v>19</v>
      </c>
      <c r="H18" s="20" t="n">
        <v>0</v>
      </c>
      <c r="I18" s="20" t="n">
        <v>39</v>
      </c>
      <c r="J18" s="21" t="n">
        <f aca="false">IF(I18=0,"",G18/I18)</f>
        <v>0.487179487179487</v>
      </c>
      <c r="K18" s="20"/>
      <c r="L18" s="20" t="n">
        <v>6</v>
      </c>
    </row>
    <row r="19" customFormat="false" ht="15" hidden="false" customHeight="false" outlineLevel="0" collapsed="false">
      <c r="A19" s="22" t="s">
        <v>29</v>
      </c>
      <c r="B19" s="22" t="s">
        <v>4</v>
      </c>
      <c r="C19" s="23" t="n">
        <v>3</v>
      </c>
      <c r="D19" s="23" t="s">
        <v>300</v>
      </c>
      <c r="E19" s="23" t="n">
        <f aca="false">Schema!W46</f>
        <v>5</v>
      </c>
      <c r="F19" s="23" t="n">
        <f aca="false">Schema!W47</f>
        <v>13</v>
      </c>
      <c r="G19" s="23" t="n">
        <f aca="false">E19+F19</f>
        <v>18</v>
      </c>
      <c r="H19" s="23" t="n">
        <v>0</v>
      </c>
      <c r="I19" s="23" t="n">
        <v>39</v>
      </c>
      <c r="J19" s="24" t="n">
        <f aca="false">IF(I19=0,"",G19/I19)</f>
        <v>0.461538461538462</v>
      </c>
      <c r="K19" s="23"/>
      <c r="L19" s="23" t="n">
        <v>7</v>
      </c>
    </row>
    <row r="20" customFormat="false" ht="15" hidden="false" customHeight="false" outlineLevel="0" collapsed="false">
      <c r="A20" s="19" t="s">
        <v>30</v>
      </c>
      <c r="B20" s="19" t="s">
        <v>4</v>
      </c>
      <c r="C20" s="20" t="n">
        <v>3</v>
      </c>
      <c r="D20" s="20" t="s">
        <v>300</v>
      </c>
      <c r="E20" s="20" t="n">
        <f aca="false">Schema!X46</f>
        <v>5</v>
      </c>
      <c r="F20" s="20" t="n">
        <f aca="false">Schema!X47</f>
        <v>14</v>
      </c>
      <c r="G20" s="20" t="n">
        <f aca="false">E20+F20</f>
        <v>19</v>
      </c>
      <c r="H20" s="20" t="n">
        <v>0</v>
      </c>
      <c r="I20" s="20" t="n">
        <v>39</v>
      </c>
      <c r="J20" s="21" t="n">
        <f aca="false">IF(I20=0,"",G20/I20)</f>
        <v>0.487179487179487</v>
      </c>
      <c r="K20" s="20"/>
      <c r="L20" s="20" t="n">
        <v>6</v>
      </c>
    </row>
    <row r="21" customFormat="false" ht="15" hidden="false" customHeight="false" outlineLevel="0" collapsed="false">
      <c r="A21" s="22" t="s">
        <v>31</v>
      </c>
      <c r="B21" s="22" t="s">
        <v>6</v>
      </c>
      <c r="C21" s="23" t="n">
        <v>3</v>
      </c>
      <c r="D21" s="23" t="s">
        <v>300</v>
      </c>
      <c r="E21" s="23" t="n">
        <f aca="false">Schema!Y46</f>
        <v>5</v>
      </c>
      <c r="F21" s="23" t="n">
        <f aca="false">Schema!Y47</f>
        <v>12</v>
      </c>
      <c r="G21" s="23" t="n">
        <f aca="false">E21+F21</f>
        <v>17</v>
      </c>
      <c r="H21" s="23" t="n">
        <v>0</v>
      </c>
      <c r="I21" s="23" t="n">
        <v>39</v>
      </c>
      <c r="J21" s="24" t="n">
        <f aca="false">IF(I21=0,"",G21/I21)</f>
        <v>0.435897435897436</v>
      </c>
      <c r="K21" s="23"/>
      <c r="L21" s="23" t="n">
        <v>7</v>
      </c>
    </row>
    <row r="22" customFormat="false" ht="15" hidden="false" customHeight="false" outlineLevel="0" collapsed="false">
      <c r="A22" s="19" t="s">
        <v>32</v>
      </c>
      <c r="B22" s="19" t="s">
        <v>6</v>
      </c>
      <c r="C22" s="20" t="n">
        <v>3.25</v>
      </c>
      <c r="D22" s="20" t="s">
        <v>300</v>
      </c>
      <c r="E22" s="20" t="n">
        <f aca="false">Schema!Z46</f>
        <v>5</v>
      </c>
      <c r="F22" s="20" t="n">
        <f aca="false">Schema!Z47</f>
        <v>12</v>
      </c>
      <c r="G22" s="20" t="n">
        <f aca="false">E22+F22</f>
        <v>17</v>
      </c>
      <c r="H22" s="20" t="n">
        <v>0</v>
      </c>
      <c r="I22" s="20" t="n">
        <v>39</v>
      </c>
      <c r="J22" s="21" t="n">
        <f aca="false">IF(I22=0,"",G22/I22)</f>
        <v>0.435897435897436</v>
      </c>
      <c r="K22" s="20"/>
      <c r="L22" s="20" t="n">
        <v>6</v>
      </c>
    </row>
    <row r="23" customFormat="false" ht="15" hidden="false" customHeight="false" outlineLevel="0" collapsed="false">
      <c r="A23" s="22" t="s">
        <v>33</v>
      </c>
      <c r="B23" s="22" t="s">
        <v>6</v>
      </c>
      <c r="C23" s="23" t="n">
        <v>3.75</v>
      </c>
      <c r="D23" s="23" t="s">
        <v>294</v>
      </c>
      <c r="E23" s="23" t="n">
        <f aca="false">Schema!AA46</f>
        <v>0</v>
      </c>
      <c r="F23" s="23" t="n">
        <f aca="false">Schema!AA47</f>
        <v>18</v>
      </c>
      <c r="G23" s="23" t="n">
        <f aca="false">E23+F23</f>
        <v>18</v>
      </c>
      <c r="H23" s="23" t="n">
        <v>0</v>
      </c>
      <c r="I23" s="23" t="n">
        <v>21</v>
      </c>
      <c r="J23" s="24" t="n">
        <f aca="false">IF(I23=0,"",G23/I23)</f>
        <v>0.857142857142857</v>
      </c>
      <c r="K23" s="23"/>
      <c r="L23" s="23" t="n">
        <v>7</v>
      </c>
    </row>
    <row r="24" customFormat="false" ht="15" hidden="false" customHeight="false" outlineLevel="0" collapsed="false">
      <c r="A24" s="19" t="s">
        <v>34</v>
      </c>
      <c r="B24" s="19" t="s">
        <v>6</v>
      </c>
      <c r="C24" s="20" t="n">
        <v>4</v>
      </c>
      <c r="D24" s="20" t="s">
        <v>294</v>
      </c>
      <c r="E24" s="20" t="n">
        <f aca="false">Schema!AB46</f>
        <v>0</v>
      </c>
      <c r="F24" s="20" t="n">
        <f aca="false">Schema!AB47</f>
        <v>17</v>
      </c>
      <c r="G24" s="20" t="n">
        <f aca="false">E24+F24</f>
        <v>17</v>
      </c>
      <c r="H24" s="20" t="n">
        <v>0</v>
      </c>
      <c r="I24" s="20" t="n">
        <v>21</v>
      </c>
      <c r="J24" s="21" t="n">
        <f aca="false">IF(I24=0,"",G24/I24)</f>
        <v>0.80952380952381</v>
      </c>
      <c r="K24" s="20" t="s">
        <v>301</v>
      </c>
      <c r="L24" s="20"/>
    </row>
    <row r="25" customFormat="false" ht="15" hidden="false" customHeight="false" outlineLevel="0" collapsed="false">
      <c r="A25" s="22" t="s">
        <v>35</v>
      </c>
      <c r="B25" s="22" t="s">
        <v>5</v>
      </c>
      <c r="C25" s="23" t="n">
        <v>4</v>
      </c>
      <c r="D25" s="23" t="s">
        <v>294</v>
      </c>
      <c r="E25" s="23" t="n">
        <f aca="false">Schema!AC46</f>
        <v>0</v>
      </c>
      <c r="F25" s="23" t="n">
        <f aca="false">Schema!AC47</f>
        <v>17</v>
      </c>
      <c r="G25" s="23" t="n">
        <f aca="false">E25+F25</f>
        <v>17</v>
      </c>
      <c r="H25" s="23" t="n">
        <v>0</v>
      </c>
      <c r="I25" s="23" t="n">
        <v>21</v>
      </c>
      <c r="J25" s="24" t="n">
        <f aca="false">IF(I25=0,"",G25/I25)</f>
        <v>0.80952380952381</v>
      </c>
      <c r="K25" s="23"/>
      <c r="L25" s="23" t="n">
        <v>7</v>
      </c>
    </row>
    <row r="26" customFormat="false" ht="15" hidden="false" customHeight="false" outlineLevel="0" collapsed="false">
      <c r="A26" s="19" t="s">
        <v>36</v>
      </c>
      <c r="B26" s="19" t="s">
        <v>6</v>
      </c>
      <c r="C26" s="20" t="n">
        <v>4</v>
      </c>
      <c r="D26" s="20" t="s">
        <v>294</v>
      </c>
      <c r="E26" s="20" t="n">
        <f aca="false">Schema!AD46</f>
        <v>0</v>
      </c>
      <c r="F26" s="20" t="n">
        <f aca="false">Schema!AD47</f>
        <v>17</v>
      </c>
      <c r="G26" s="20" t="n">
        <f aca="false">E26+F26</f>
        <v>17</v>
      </c>
      <c r="H26" s="20" t="n">
        <v>0</v>
      </c>
      <c r="I26" s="20" t="n">
        <v>21</v>
      </c>
      <c r="J26" s="21" t="n">
        <f aca="false">IF(I26=0,"",G26/I26)</f>
        <v>0.80952380952381</v>
      </c>
      <c r="K26" s="20"/>
      <c r="L26" s="20" t="n">
        <v>6</v>
      </c>
    </row>
    <row r="27" customFormat="false" ht="15" hidden="false" customHeight="false" outlineLevel="0" collapsed="false">
      <c r="A27" s="22" t="s">
        <v>37</v>
      </c>
      <c r="B27" s="22" t="s">
        <v>6</v>
      </c>
      <c r="C27" s="23" t="n">
        <v>4</v>
      </c>
      <c r="D27" s="23" t="s">
        <v>294</v>
      </c>
      <c r="E27" s="23" t="n">
        <f aca="false">Schema!AE46</f>
        <v>0</v>
      </c>
      <c r="F27" s="23" t="n">
        <f aca="false">Schema!AE47</f>
        <v>17</v>
      </c>
      <c r="G27" s="23" t="n">
        <f aca="false">E27+F27</f>
        <v>17</v>
      </c>
      <c r="H27" s="23" t="n">
        <v>0</v>
      </c>
      <c r="I27" s="23" t="n">
        <v>21</v>
      </c>
      <c r="J27" s="24" t="n">
        <f aca="false">IF(I27=0,"",G27/I27)</f>
        <v>0.80952380952381</v>
      </c>
      <c r="K27" s="23"/>
      <c r="L27" s="23" t="n">
        <v>6</v>
      </c>
    </row>
  </sheetData>
  <autoFilter ref="A3:L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302</v>
      </c>
    </row>
    <row r="3" customFormat="false" ht="15" hidden="false" customHeight="false" outlineLevel="0" collapsed="false">
      <c r="A3" s="2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2026-09-09T08:12:53Z</dcterms:created>
  <dc:creator>openpyxl</dc:creator>
  <dc:description/>
  <dc:language>en-US</dc:language>
  <cp:lastModifiedBy/>
  <dcterms:modified xsi:type="dcterms:W3CDTF">2026-09-09T08:12:53Z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